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Weight Build-u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<sst xmlns="http://schemas.openxmlformats.org/spreadsheetml/2006/main" count="129" uniqueCount="95">
  <si>
    <t xml:space="preserve">Key Assumptions — IIT Mandi RC Aircraft, Techfest 2026 (IIT Bombay, 16–18 Dec 2026)</t>
  </si>
  <si>
    <t xml:space="preserve">Supports the P3 proposal. Weight figures are worked out on the 'Weight Build-up' tab.</t>
  </si>
  <si>
    <t xml:space="preserve">Item</t>
  </si>
  <si>
    <t xml:space="preserve">Assumption</t>
  </si>
  <si>
    <t xml:space="preserve">Aircraft</t>
  </si>
  <si>
    <t xml:space="preserve">Electric, single motor, 1.1 m span, high-wing trainer, ≈ 1.2 kg all-up (≈ 850 g empty + 300 g payload, see Weight Build-up tab)</t>
  </si>
  <si>
    <t xml:space="preserve">Electronics</t>
  </si>
  <si>
    <t xml:space="preserve">A2212 1000 KV motor, 30 A ESC, 1045 prop, 3S 2200 mAh 40C LiPo, 4 × SG90 servos, FlySky FS-i6 radio</t>
  </si>
  <si>
    <t xml:space="preserve">Material</t>
  </si>
  <si>
    <t xml:space="preserve">5 mm paper-faced foam board, 6 mm carbon-tube spar, hot glue — cheap and quick to repair</t>
  </si>
  <si>
    <t xml:space="preserve">Budget &amp; team</t>
  </si>
  <si>
    <t xml:space="preserve">≈ ₹13,200 per aircraft + ₹2,000 spares (Probots/Robu prices, checked 23 Oct 2026); 4 members</t>
  </si>
  <si>
    <t xml:space="preserve">Time</t>
  </si>
  <si>
    <t xml:space="preserve">Build window 9 Nov – 6 Dec 2026; buffer 7–12 Dec; travel to Mumbai 13–15 Dec</t>
  </si>
  <si>
    <t xml:space="preserve">Conditions</t>
  </si>
  <si>
    <t xml:space="preserve">Testing at Kamand (≈ 1,000 m, cold); competing in Mumbai (sea level, ≈ 10% denser air → slightly more lift and thrust). Wing detaches for transport; 24 Wh LiPo is under the 100 Wh airline limit.</t>
  </si>
  <si>
    <t xml:space="preserve">Scope</t>
  </si>
  <si>
    <t xml:space="preserve">No simulation software was run; simulation is discussed as a design approach.</t>
  </si>
  <si>
    <t xml:space="preserve">Payload</t>
  </si>
  <si>
    <t xml:space="preserve">300 g is an assumed mission payload, not taken from the Techfest rulebook.</t>
  </si>
  <si>
    <t xml:space="preserve">RC Aircraft Weight Build-up — IIT Mandi, Techfest 2026</t>
  </si>
  <si>
    <t xml:space="preserve">Bottom-up check of the 1.2 kg all-up weight used in the P3 proposal. Blue cells are inputs; black cells are formulas.</t>
  </si>
  <si>
    <t xml:space="preserve">Inputs</t>
  </si>
  <si>
    <t xml:space="preserve">Payload (g)</t>
  </si>
  <si>
    <t xml:space="preserve">Assumed mission payload (not from the Techfest rulebook)</t>
  </si>
  <si>
    <t xml:space="preserve">Design all-up weight used in proposal (g)</t>
  </si>
  <si>
    <t xml:space="preserve">Value used in P3 sizing calculation</t>
  </si>
  <si>
    <t xml:space="preserve">Spar outer diameter (mm)</t>
  </si>
  <si>
    <t xml:space="preserve">Robu: 6 mm × 4 mm pultruded carbon tube</t>
  </si>
  <si>
    <t xml:space="preserve">Spar inner diameter (mm)</t>
  </si>
  <si>
    <t xml:space="preserve">Robu listing</t>
  </si>
  <si>
    <t xml:space="preserve">Spar length (mm)</t>
  </si>
  <si>
    <t xml:space="preserve">Two 500 mm tubes = 1.1 m wing minus centre joint ≈ 1 m</t>
  </si>
  <si>
    <t xml:space="preserve">Carbon fibre density (g/cm³)</t>
  </si>
  <si>
    <t xml:space="preserve">Typical for pultruded carbon fibre</t>
  </si>
  <si>
    <t xml:space="preserve">Foam board sheet weight (g per 20×30 in sheet)</t>
  </si>
  <si>
    <t xml:space="preserve">Estimate for paper-faced foam board — weigh one sheet to confirm</t>
  </si>
  <si>
    <t xml:space="preserve">Foam sheets used</t>
  </si>
  <si>
    <t xml:space="preserve">Wing ≈ 1.5 sheets (folded double layer) + fuselage &amp; tail ≈ 1 sheet</t>
  </si>
  <si>
    <t xml:space="preserve">Spar cross-section area (mm²)</t>
  </si>
  <si>
    <t xml:space="preserve">Spar mass (g)</t>
  </si>
  <si>
    <t xml:space="preserve">area × length ÷ 1000 (mm³→cm³) × density</t>
  </si>
  <si>
    <t xml:space="preserve">Part</t>
  </si>
  <si>
    <t xml:space="preserve">Category</t>
  </si>
  <si>
    <t xml:space="preserve">Qty</t>
  </si>
  <si>
    <t xml:space="preserve">Unit weight (g)</t>
  </si>
  <si>
    <t xml:space="preserve">Total weight (g)</t>
  </si>
  <si>
    <t xml:space="preserve">% of empty weight</t>
  </si>
  <si>
    <t xml:space="preserve">Confidence</t>
  </si>
  <si>
    <t xml:space="preserve">Source / notes</t>
  </si>
  <si>
    <t xml:space="preserve">3S 2200 mAh 40C LiPo battery</t>
  </si>
  <si>
    <t xml:space="preserve">Electronics &amp; battery</t>
  </si>
  <si>
    <t xml:space="preserve">Listing</t>
  </si>
  <si>
    <t xml:space="preserve">Robu listing: Orange 11.1V 2200mAh 40C, 175 g</t>
  </si>
  <si>
    <t xml:space="preserve">SG90 9 g servo</t>
  </si>
  <si>
    <t xml:space="preserve">Probots listing: 9 g each (ailerons ×2, elevator, rudder)</t>
  </si>
  <si>
    <t xml:space="preserve">A2212 1000 KV brushless motor</t>
  </si>
  <si>
    <t xml:space="preserve">Typical</t>
  </si>
  <si>
    <t xml:space="preserve">Typical spec for this motor; not stated on Probots page</t>
  </si>
  <si>
    <t xml:space="preserve">30 A ESC (SimonK)</t>
  </si>
  <si>
    <t xml:space="preserve">Typical spec</t>
  </si>
  <si>
    <t xml:space="preserve">FlySky FS-iA6B receiver</t>
  </si>
  <si>
    <t xml:space="preserve">1045 propeller</t>
  </si>
  <si>
    <t xml:space="preserve">Carbon fibre spar 6×4 mm</t>
  </si>
  <si>
    <t xml:space="preserve">Structure</t>
  </si>
  <si>
    <t xml:space="preserve">Calculated</t>
  </si>
  <si>
    <t xml:space="preserve">From spar inputs above</t>
  </si>
  <si>
    <t xml:space="preserve">Foam board (paper-faced, 5 mm)</t>
  </si>
  <si>
    <t xml:space="preserve">Estimate</t>
  </si>
  <si>
    <t xml:space="preserve">Avoid PVC 'sunboard' — several times heavier</t>
  </si>
  <si>
    <t xml:space="preserve">Hot glue</t>
  </si>
  <si>
    <t xml:space="preserve">Hardware &amp; assembly</t>
  </si>
  <si>
    <t xml:space="preserve">Landing gear (steel wire)</t>
  </si>
  <si>
    <t xml:space="preserve">Wires and XT60 connectors</t>
  </si>
  <si>
    <t xml:space="preserve">Control horns and pushrods</t>
  </si>
  <si>
    <t xml:space="preserve">Tape</t>
  </si>
  <si>
    <t xml:space="preserve">Empty weight</t>
  </si>
  <si>
    <t xml:space="preserve">All-up weight (calculated)</t>
  </si>
  <si>
    <t xml:space="preserve">Design weight used in proposal</t>
  </si>
  <si>
    <t xml:space="preserve">Margin for build errors (g)</t>
  </si>
  <si>
    <t xml:space="preserve">Margin (% of design weight)</t>
  </si>
  <si>
    <t xml:space="preserve">Summary by category</t>
  </si>
  <si>
    <t xml:space="preserve">Weight (g)</t>
  </si>
  <si>
    <t xml:space="preserve">Check: total</t>
  </si>
  <si>
    <t xml:space="preserve">Summary by confidence</t>
  </si>
  <si>
    <t xml:space="preserve">Meaning</t>
  </si>
  <si>
    <t xml:space="preserve">Stated on the shop product page</t>
  </si>
  <si>
    <t xml:space="preserve">Worked out from dimensions and density</t>
  </si>
  <si>
    <t xml:space="preserve">Standard value for this part — confirm on the product page</t>
  </si>
  <si>
    <t xml:space="preserve">Best guess — weigh when built</t>
  </si>
  <si>
    <t xml:space="preserve">Legend</t>
  </si>
  <si>
    <t xml:space="preserve">Blue text = input you can change</t>
  </si>
  <si>
    <t xml:space="preserve">Black text = formula</t>
  </si>
  <si>
    <t xml:space="preserve">Green text = linked from the inputs block</t>
  </si>
  <si>
    <t xml:space="preserve">Prices/weights checked 23 Oct 2026 on probots.co.in and robu.in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</si>
</sst>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#,##0.0"/>
    <numFmt numFmtId="167" formatCode="#,##0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26.8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  <row r="10" customFormat="false" ht="26.85" hidden="false" customHeight="false" outlineLevel="0" collapsed="false">
      <c r="A10" s="4" t="s">
        <v>14</v>
      </c>
      <c r="B10" s="5" t="s">
        <v>15</v>
      </c>
    </row>
    <row r="11" customFormat="false" ht="15" hidden="false" customHeight="false" outlineLevel="0" collapsed="false">
      <c r="A11" s="4" t="s">
        <v>16</v>
      </c>
      <c r="B11" s="5" t="s">
        <v>17</v>
      </c>
    </row>
    <row r="12" customFormat="false" ht="15" hidden="false" customHeight="false" outlineLevel="0" collapsed="false">
      <c r="A12" s="4" t="s">
        <v>18</v>
      </c>
      <c r="B12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7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6" width="44"/>
    <col collapsed="false" customWidth="true" hidden="false" outlineLevel="0" max="2" min="2" style="6" width="22"/>
    <col collapsed="false" customWidth="true" hidden="false" outlineLevel="0" max="3" min="3" style="6" width="10"/>
    <col collapsed="false" customWidth="true" hidden="false" outlineLevel="0" max="5" min="4" style="6" width="15"/>
    <col collapsed="false" customWidth="true" hidden="false" outlineLevel="0" max="6" min="6" style="6" width="14"/>
    <col collapsed="false" customWidth="true" hidden="false" outlineLevel="0" max="7" min="7" style="6" width="13"/>
    <col collapsed="false" customWidth="true" hidden="false" outlineLevel="0" max="8" min="8" style="6" width="58"/>
  </cols>
  <sheetData>
    <row r="1" customFormat="false" ht="17.25" hidden="false" customHeight="true" outlineLevel="0" collapsed="false">
      <c r="A1" s="7" t="s">
        <v>20</v>
      </c>
    </row>
    <row r="2" customFormat="false" ht="15" hidden="false" customHeight="true" outlineLevel="0" collapsed="false">
      <c r="A2" s="8" t="s">
        <v>21</v>
      </c>
    </row>
    <row r="4" customFormat="false" ht="15" hidden="false" customHeight="true" outlineLevel="0" collapsed="false">
      <c r="A4" s="9" t="s">
        <v>22</v>
      </c>
    </row>
    <row r="5" customFormat="false" ht="15" hidden="false" customHeight="true" outlineLevel="0" collapsed="false">
      <c r="A5" s="10" t="s">
        <v>23</v>
      </c>
      <c r="B5" s="11" t="n">
        <v>300</v>
      </c>
      <c r="C5" s="12" t="s">
        <v>24</v>
      </c>
    </row>
    <row r="6" customFormat="false" ht="15" hidden="false" customHeight="true" outlineLevel="0" collapsed="false">
      <c r="A6" s="10" t="s">
        <v>25</v>
      </c>
      <c r="B6" s="11" t="n">
        <v>1200</v>
      </c>
      <c r="C6" s="12" t="s">
        <v>26</v>
      </c>
    </row>
    <row r="7" customFormat="false" ht="15" hidden="false" customHeight="true" outlineLevel="0" collapsed="false">
      <c r="A7" s="10" t="s">
        <v>27</v>
      </c>
      <c r="B7" s="11" t="n">
        <v>6</v>
      </c>
      <c r="C7" s="12" t="s">
        <v>28</v>
      </c>
    </row>
    <row r="8" customFormat="false" ht="15" hidden="false" customHeight="true" outlineLevel="0" collapsed="false">
      <c r="A8" s="10" t="s">
        <v>29</v>
      </c>
      <c r="B8" s="11" t="n">
        <v>4</v>
      </c>
      <c r="C8" s="12" t="s">
        <v>30</v>
      </c>
    </row>
    <row r="9" customFormat="false" ht="15" hidden="false" customHeight="true" outlineLevel="0" collapsed="false">
      <c r="A9" s="10" t="s">
        <v>31</v>
      </c>
      <c r="B9" s="11" t="n">
        <v>1000</v>
      </c>
      <c r="C9" s="12" t="s">
        <v>32</v>
      </c>
    </row>
    <row r="10" customFormat="false" ht="15" hidden="false" customHeight="true" outlineLevel="0" collapsed="false">
      <c r="A10" s="10" t="s">
        <v>33</v>
      </c>
      <c r="B10" s="11" t="n">
        <v>1.55</v>
      </c>
      <c r="C10" s="12" t="s">
        <v>34</v>
      </c>
    </row>
    <row r="11" customFormat="false" ht="15" hidden="false" customHeight="true" outlineLevel="0" collapsed="false">
      <c r="A11" s="10" t="s">
        <v>35</v>
      </c>
      <c r="B11" s="11" t="n">
        <v>140</v>
      </c>
      <c r="C11" s="12" t="s">
        <v>36</v>
      </c>
    </row>
    <row r="12" customFormat="false" ht="15" hidden="false" customHeight="true" outlineLevel="0" collapsed="false">
      <c r="A12" s="10" t="s">
        <v>37</v>
      </c>
      <c r="B12" s="11" t="n">
        <v>2.5</v>
      </c>
      <c r="C12" s="12" t="s">
        <v>38</v>
      </c>
    </row>
    <row r="14" customFormat="false" ht="15" hidden="false" customHeight="true" outlineLevel="0" collapsed="false">
      <c r="A14" s="10" t="s">
        <v>39</v>
      </c>
      <c r="B14" s="13" t="n">
        <f aca="false">PI()/4*($B$7^2-$B$8^2)</f>
        <v>15.707963267949</v>
      </c>
    </row>
    <row r="15" customFormat="false" ht="15" hidden="false" customHeight="true" outlineLevel="0" collapsed="false">
      <c r="A15" s="10" t="s">
        <v>40</v>
      </c>
      <c r="B15" s="13" t="n">
        <f aca="false">B14*$B$9/1000*$B$10</f>
        <v>24.3473430653209</v>
      </c>
      <c r="C15" s="12" t="s">
        <v>41</v>
      </c>
    </row>
    <row r="17" customFormat="false" ht="30" hidden="false" customHeight="true" outlineLevel="0" collapsed="false">
      <c r="A17" s="14" t="s">
        <v>42</v>
      </c>
      <c r="B17" s="14" t="s">
        <v>43</v>
      </c>
      <c r="C17" s="14" t="s">
        <v>44</v>
      </c>
      <c r="D17" s="14" t="s">
        <v>45</v>
      </c>
      <c r="E17" s="14" t="s">
        <v>46</v>
      </c>
      <c r="F17" s="14" t="s">
        <v>47</v>
      </c>
      <c r="G17" s="14" t="s">
        <v>48</v>
      </c>
      <c r="H17" s="14" t="s">
        <v>49</v>
      </c>
    </row>
    <row r="18" customFormat="false" ht="15" hidden="false" customHeight="true" outlineLevel="0" collapsed="false">
      <c r="A18" s="15" t="s">
        <v>50</v>
      </c>
      <c r="B18" s="15" t="s">
        <v>51</v>
      </c>
      <c r="C18" s="16" t="n">
        <v>1</v>
      </c>
      <c r="D18" s="17" t="n">
        <v>175</v>
      </c>
      <c r="E18" s="18" t="n">
        <f aca="false">C18*D18</f>
        <v>175</v>
      </c>
      <c r="F18" s="19" t="n">
        <f aca="false">E18/$E$31</f>
        <v>0.207260674694231</v>
      </c>
      <c r="G18" s="15" t="s">
        <v>52</v>
      </c>
      <c r="H18" s="20" t="s">
        <v>53</v>
      </c>
    </row>
    <row r="19" customFormat="false" ht="15" hidden="false" customHeight="true" outlineLevel="0" collapsed="false">
      <c r="A19" s="15" t="s">
        <v>54</v>
      </c>
      <c r="B19" s="15" t="s">
        <v>51</v>
      </c>
      <c r="C19" s="16" t="n">
        <v>4</v>
      </c>
      <c r="D19" s="17" t="n">
        <v>9</v>
      </c>
      <c r="E19" s="18" t="n">
        <f aca="false">C19*D19</f>
        <v>36</v>
      </c>
      <c r="F19" s="19" t="n">
        <f aca="false">E19/$E$31</f>
        <v>0.0426364816513847</v>
      </c>
      <c r="G19" s="15" t="s">
        <v>52</v>
      </c>
      <c r="H19" s="20" t="s">
        <v>55</v>
      </c>
    </row>
    <row r="20" customFormat="false" ht="15" hidden="false" customHeight="true" outlineLevel="0" collapsed="false">
      <c r="A20" s="15" t="s">
        <v>56</v>
      </c>
      <c r="B20" s="15" t="s">
        <v>51</v>
      </c>
      <c r="C20" s="16" t="n">
        <v>1</v>
      </c>
      <c r="D20" s="17" t="n">
        <v>52</v>
      </c>
      <c r="E20" s="18" t="n">
        <f aca="false">C20*D20</f>
        <v>52</v>
      </c>
      <c r="F20" s="19" t="n">
        <f aca="false">E20/$E$31</f>
        <v>0.0615860290520002</v>
      </c>
      <c r="G20" s="15" t="s">
        <v>57</v>
      </c>
      <c r="H20" s="20" t="s">
        <v>58</v>
      </c>
    </row>
    <row r="21" customFormat="false" ht="15" hidden="false" customHeight="true" outlineLevel="0" collapsed="false">
      <c r="A21" s="15" t="s">
        <v>59</v>
      </c>
      <c r="B21" s="15" t="s">
        <v>51</v>
      </c>
      <c r="C21" s="16" t="n">
        <v>1</v>
      </c>
      <c r="D21" s="17" t="n">
        <v>25</v>
      </c>
      <c r="E21" s="18" t="n">
        <f aca="false">C21*D21</f>
        <v>25</v>
      </c>
      <c r="F21" s="19" t="n">
        <f aca="false">E21/$E$31</f>
        <v>0.0296086678134616</v>
      </c>
      <c r="G21" s="15" t="s">
        <v>57</v>
      </c>
      <c r="H21" s="20" t="s">
        <v>60</v>
      </c>
    </row>
    <row r="22" customFormat="false" ht="15" hidden="false" customHeight="true" outlineLevel="0" collapsed="false">
      <c r="A22" s="15" t="s">
        <v>61</v>
      </c>
      <c r="B22" s="15" t="s">
        <v>51</v>
      </c>
      <c r="C22" s="16" t="n">
        <v>1</v>
      </c>
      <c r="D22" s="17" t="n">
        <v>15</v>
      </c>
      <c r="E22" s="18" t="n">
        <f aca="false">C22*D22</f>
        <v>15</v>
      </c>
      <c r="F22" s="19" t="n">
        <f aca="false">E22/$E$31</f>
        <v>0.017765200688077</v>
      </c>
      <c r="G22" s="15" t="s">
        <v>57</v>
      </c>
      <c r="H22" s="20" t="s">
        <v>60</v>
      </c>
    </row>
    <row r="23" customFormat="false" ht="15" hidden="false" customHeight="true" outlineLevel="0" collapsed="false">
      <c r="A23" s="15" t="s">
        <v>62</v>
      </c>
      <c r="B23" s="15" t="s">
        <v>51</v>
      </c>
      <c r="C23" s="16" t="n">
        <v>1</v>
      </c>
      <c r="D23" s="17" t="n">
        <v>12</v>
      </c>
      <c r="E23" s="18" t="n">
        <f aca="false">C23*D23</f>
        <v>12</v>
      </c>
      <c r="F23" s="19" t="n">
        <f aca="false">E23/$E$31</f>
        <v>0.0142121605504616</v>
      </c>
      <c r="G23" s="15" t="s">
        <v>57</v>
      </c>
      <c r="H23" s="20" t="s">
        <v>60</v>
      </c>
    </row>
    <row r="24" customFormat="false" ht="15" hidden="false" customHeight="true" outlineLevel="0" collapsed="false">
      <c r="A24" s="15" t="s">
        <v>63</v>
      </c>
      <c r="B24" s="15" t="s">
        <v>64</v>
      </c>
      <c r="C24" s="16" t="n">
        <v>1</v>
      </c>
      <c r="D24" s="21" t="n">
        <f aca="false">B15</f>
        <v>24.3473430653209</v>
      </c>
      <c r="E24" s="18" t="n">
        <f aca="false">C24*D24</f>
        <v>24.3473430653209</v>
      </c>
      <c r="F24" s="19" t="n">
        <f aca="false">E24/$E$31</f>
        <v>0.028835695718459</v>
      </c>
      <c r="G24" s="15" t="s">
        <v>65</v>
      </c>
      <c r="H24" s="20" t="s">
        <v>66</v>
      </c>
    </row>
    <row r="25" customFormat="false" ht="15" hidden="false" customHeight="true" outlineLevel="0" collapsed="false">
      <c r="A25" s="15" t="s">
        <v>67</v>
      </c>
      <c r="B25" s="15" t="s">
        <v>64</v>
      </c>
      <c r="C25" s="22" t="n">
        <f aca="false">$B$12</f>
        <v>2.5</v>
      </c>
      <c r="D25" s="21" t="n">
        <f aca="false">$B$11</f>
        <v>140</v>
      </c>
      <c r="E25" s="18" t="n">
        <f aca="false">C25*D25</f>
        <v>350</v>
      </c>
      <c r="F25" s="19" t="n">
        <f aca="false">E25/$E$31</f>
        <v>0.414521349388463</v>
      </c>
      <c r="G25" s="15" t="s">
        <v>68</v>
      </c>
      <c r="H25" s="20" t="s">
        <v>69</v>
      </c>
    </row>
    <row r="26" customFormat="false" ht="15" hidden="false" customHeight="true" outlineLevel="0" collapsed="false">
      <c r="A26" s="15" t="s">
        <v>70</v>
      </c>
      <c r="B26" s="15" t="s">
        <v>71</v>
      </c>
      <c r="C26" s="16" t="n">
        <v>1</v>
      </c>
      <c r="D26" s="17" t="n">
        <v>50</v>
      </c>
      <c r="E26" s="18" t="n">
        <f aca="false">C26*D26</f>
        <v>50</v>
      </c>
      <c r="F26" s="19" t="n">
        <f aca="false">E26/$E$31</f>
        <v>0.0592173356269232</v>
      </c>
      <c r="G26" s="15" t="s">
        <v>68</v>
      </c>
      <c r="H26" s="20"/>
    </row>
    <row r="27" customFormat="false" ht="15" hidden="false" customHeight="true" outlineLevel="0" collapsed="false">
      <c r="A27" s="15" t="s">
        <v>72</v>
      </c>
      <c r="B27" s="15" t="s">
        <v>71</v>
      </c>
      <c r="C27" s="16" t="n">
        <v>1</v>
      </c>
      <c r="D27" s="17" t="n">
        <v>40</v>
      </c>
      <c r="E27" s="18" t="n">
        <f aca="false">C27*D27</f>
        <v>40</v>
      </c>
      <c r="F27" s="19" t="n">
        <f aca="false">E27/$E$31</f>
        <v>0.0473738685015386</v>
      </c>
      <c r="G27" s="15" t="s">
        <v>68</v>
      </c>
      <c r="H27" s="20"/>
    </row>
    <row r="28" customFormat="false" ht="15" hidden="false" customHeight="true" outlineLevel="0" collapsed="false">
      <c r="A28" s="15" t="s">
        <v>73</v>
      </c>
      <c r="B28" s="15" t="s">
        <v>71</v>
      </c>
      <c r="C28" s="16" t="n">
        <v>1</v>
      </c>
      <c r="D28" s="17" t="n">
        <v>30</v>
      </c>
      <c r="E28" s="18" t="n">
        <f aca="false">C28*D28</f>
        <v>30</v>
      </c>
      <c r="F28" s="19" t="n">
        <f aca="false">E28/$E$31</f>
        <v>0.0355304013761539</v>
      </c>
      <c r="G28" s="15" t="s">
        <v>68</v>
      </c>
      <c r="H28" s="20"/>
    </row>
    <row r="29" customFormat="false" ht="15" hidden="false" customHeight="true" outlineLevel="0" collapsed="false">
      <c r="A29" s="15" t="s">
        <v>74</v>
      </c>
      <c r="B29" s="15" t="s">
        <v>71</v>
      </c>
      <c r="C29" s="16" t="n">
        <v>1</v>
      </c>
      <c r="D29" s="17" t="n">
        <v>15</v>
      </c>
      <c r="E29" s="18" t="n">
        <f aca="false">C29*D29</f>
        <v>15</v>
      </c>
      <c r="F29" s="19" t="n">
        <f aca="false">E29/$E$31</f>
        <v>0.017765200688077</v>
      </c>
      <c r="G29" s="15" t="s">
        <v>68</v>
      </c>
      <c r="H29" s="20"/>
    </row>
    <row r="30" customFormat="false" ht="15" hidden="false" customHeight="true" outlineLevel="0" collapsed="false">
      <c r="A30" s="15" t="s">
        <v>75</v>
      </c>
      <c r="B30" s="15" t="s">
        <v>71</v>
      </c>
      <c r="C30" s="16" t="n">
        <v>1</v>
      </c>
      <c r="D30" s="17" t="n">
        <v>20</v>
      </c>
      <c r="E30" s="18" t="n">
        <f aca="false">C30*D30</f>
        <v>20</v>
      </c>
      <c r="F30" s="19" t="n">
        <f aca="false">E30/$E$31</f>
        <v>0.0236869342507693</v>
      </c>
      <c r="G30" s="15" t="s">
        <v>68</v>
      </c>
      <c r="H30" s="20"/>
    </row>
    <row r="31" customFormat="false" ht="15" hidden="false" customHeight="true" outlineLevel="0" collapsed="false">
      <c r="A31" s="23" t="s">
        <v>76</v>
      </c>
      <c r="B31" s="24"/>
      <c r="C31" s="24"/>
      <c r="D31" s="24"/>
      <c r="E31" s="25" t="n">
        <f aca="false">SUM(E18:E30)</f>
        <v>844.347343065321</v>
      </c>
      <c r="F31" s="24"/>
      <c r="G31" s="24"/>
      <c r="H31" s="24"/>
    </row>
    <row r="32" customFormat="false" ht="15" hidden="false" customHeight="true" outlineLevel="0" collapsed="false">
      <c r="A32" s="23" t="s">
        <v>18</v>
      </c>
      <c r="B32" s="24"/>
      <c r="C32" s="24"/>
      <c r="D32" s="24"/>
      <c r="E32" s="26" t="n">
        <f aca="false">$B$5</f>
        <v>300</v>
      </c>
      <c r="F32" s="24"/>
      <c r="G32" s="24"/>
      <c r="H32" s="24"/>
    </row>
    <row r="33" customFormat="false" ht="15" hidden="false" customHeight="true" outlineLevel="0" collapsed="false">
      <c r="A33" s="23" t="s">
        <v>77</v>
      </c>
      <c r="B33" s="24"/>
      <c r="C33" s="24"/>
      <c r="D33" s="24"/>
      <c r="E33" s="27" t="n">
        <f aca="false">E31+E32</f>
        <v>1144.34734306532</v>
      </c>
      <c r="F33" s="24"/>
      <c r="G33" s="24"/>
      <c r="H33" s="24"/>
    </row>
    <row r="34" customFormat="false" ht="15" hidden="false" customHeight="true" outlineLevel="0" collapsed="false">
      <c r="A34" s="23" t="s">
        <v>78</v>
      </c>
      <c r="B34" s="24"/>
      <c r="C34" s="24"/>
      <c r="D34" s="24"/>
      <c r="E34" s="26" t="n">
        <f aca="false">$B$6</f>
        <v>1200</v>
      </c>
      <c r="F34" s="24"/>
      <c r="G34" s="24"/>
      <c r="H34" s="24"/>
    </row>
    <row r="35" customFormat="false" ht="15" hidden="false" customHeight="true" outlineLevel="0" collapsed="false">
      <c r="A35" s="23" t="s">
        <v>79</v>
      </c>
      <c r="B35" s="24"/>
      <c r="C35" s="24"/>
      <c r="D35" s="24"/>
      <c r="E35" s="25" t="n">
        <f aca="false">E34-E33</f>
        <v>55.6526569346793</v>
      </c>
      <c r="F35" s="24"/>
      <c r="G35" s="24"/>
      <c r="H35" s="24"/>
    </row>
    <row r="36" customFormat="false" ht="15" hidden="false" customHeight="true" outlineLevel="0" collapsed="false">
      <c r="A36" s="23" t="s">
        <v>80</v>
      </c>
      <c r="B36" s="24"/>
      <c r="C36" s="24"/>
      <c r="D36" s="24"/>
      <c r="E36" s="28" t="n">
        <f aca="false">IF(E34=0,0,E35/E34)</f>
        <v>0.0463772141122327</v>
      </c>
      <c r="F36" s="24"/>
      <c r="G36" s="24"/>
      <c r="H36" s="24"/>
    </row>
    <row r="39" customFormat="false" ht="15" hidden="false" customHeight="true" outlineLevel="0" collapsed="false">
      <c r="A39" s="9" t="s">
        <v>81</v>
      </c>
    </row>
    <row r="40" customFormat="false" ht="15" hidden="false" customHeight="true" outlineLevel="0" collapsed="false">
      <c r="A40" s="29" t="s">
        <v>43</v>
      </c>
      <c r="B40" s="29" t="s">
        <v>82</v>
      </c>
      <c r="C40" s="29" t="s">
        <v>47</v>
      </c>
    </row>
    <row r="41" customFormat="false" ht="15" hidden="false" customHeight="true" outlineLevel="0" collapsed="false">
      <c r="A41" s="15" t="s">
        <v>51</v>
      </c>
      <c r="B41" s="18" t="n">
        <f aca="false">SUMIF($B$18:$B$30,A41,$E$18:$E$30)</f>
        <v>315</v>
      </c>
      <c r="C41" s="19" t="n">
        <f aca="false">B41/$E$31</f>
        <v>0.373069214449616</v>
      </c>
    </row>
    <row r="42" customFormat="false" ht="15" hidden="false" customHeight="true" outlineLevel="0" collapsed="false">
      <c r="A42" s="15" t="s">
        <v>64</v>
      </c>
      <c r="B42" s="18" t="n">
        <f aca="false">SUMIF($B$18:$B$30,A42,$E$18:$E$30)</f>
        <v>374.347343065321</v>
      </c>
      <c r="C42" s="19" t="n">
        <f aca="false">B42/$E$31</f>
        <v>0.443357045106922</v>
      </c>
    </row>
    <row r="43" customFormat="false" ht="15" hidden="false" customHeight="true" outlineLevel="0" collapsed="false">
      <c r="A43" s="15" t="s">
        <v>71</v>
      </c>
      <c r="B43" s="18" t="n">
        <f aca="false">SUMIF($B$18:$B$30,A43,$E$18:$E$30)</f>
        <v>155</v>
      </c>
      <c r="C43" s="19" t="n">
        <f aca="false">B43/$E$31</f>
        <v>0.183573740443462</v>
      </c>
    </row>
    <row r="44" customFormat="false" ht="15" hidden="false" customHeight="true" outlineLevel="0" collapsed="false">
      <c r="A44" s="9" t="s">
        <v>83</v>
      </c>
      <c r="B44" s="30" t="n">
        <f aca="false">SUM(B41:B43)</f>
        <v>844.347343065321</v>
      </c>
    </row>
    <row r="47" customFormat="false" ht="15" hidden="false" customHeight="true" outlineLevel="0" collapsed="false">
      <c r="A47" s="9" t="s">
        <v>84</v>
      </c>
    </row>
    <row r="48" customFormat="false" ht="15" hidden="false" customHeight="true" outlineLevel="0" collapsed="false">
      <c r="A48" s="29" t="s">
        <v>48</v>
      </c>
      <c r="B48" s="29" t="s">
        <v>82</v>
      </c>
      <c r="C48" s="29" t="s">
        <v>47</v>
      </c>
      <c r="D48" s="29" t="s">
        <v>85</v>
      </c>
    </row>
    <row r="49" customFormat="false" ht="15" hidden="false" customHeight="true" outlineLevel="0" collapsed="false">
      <c r="A49" s="15" t="s">
        <v>52</v>
      </c>
      <c r="B49" s="18" t="n">
        <f aca="false">SUMIF($G$18:$G$30,A49,$E$18:$E$30)</f>
        <v>211</v>
      </c>
      <c r="C49" s="19" t="n">
        <f aca="false">B49/$E$31</f>
        <v>0.249897156345616</v>
      </c>
      <c r="D49" s="20" t="s">
        <v>86</v>
      </c>
    </row>
    <row r="50" customFormat="false" ht="15" hidden="false" customHeight="true" outlineLevel="0" collapsed="false">
      <c r="A50" s="15" t="s">
        <v>65</v>
      </c>
      <c r="B50" s="18" t="n">
        <f aca="false">SUMIF($G$18:$G$30,A50,$E$18:$E$30)</f>
        <v>24.3473430653209</v>
      </c>
      <c r="C50" s="19" t="n">
        <f aca="false">B50/$E$31</f>
        <v>0.028835695718459</v>
      </c>
      <c r="D50" s="20" t="s">
        <v>87</v>
      </c>
    </row>
    <row r="51" customFormat="false" ht="15" hidden="false" customHeight="true" outlineLevel="0" collapsed="false">
      <c r="A51" s="15" t="s">
        <v>57</v>
      </c>
      <c r="B51" s="18" t="n">
        <f aca="false">SUMIF($G$18:$G$30,A51,$E$18:$E$30)</f>
        <v>104</v>
      </c>
      <c r="C51" s="19" t="n">
        <f aca="false">B51/$E$31</f>
        <v>0.123172058104</v>
      </c>
      <c r="D51" s="20" t="s">
        <v>88</v>
      </c>
    </row>
    <row r="52" customFormat="false" ht="15" hidden="false" customHeight="true" outlineLevel="0" collapsed="false">
      <c r="A52" s="15" t="s">
        <v>68</v>
      </c>
      <c r="B52" s="18" t="n">
        <f aca="false">SUMIF($G$18:$G$30,A52,$E$18:$E$30)</f>
        <v>505</v>
      </c>
      <c r="C52" s="19" t="n">
        <f aca="false">B52/$E$31</f>
        <v>0.598095089831925</v>
      </c>
      <c r="D52" s="20" t="s">
        <v>89</v>
      </c>
    </row>
    <row r="55" customFormat="false" ht="15" hidden="false" customHeight="true" outlineLevel="0" collapsed="false">
      <c r="A55" s="9" t="s">
        <v>90</v>
      </c>
    </row>
    <row r="56" customFormat="false" ht="15" hidden="false" customHeight="true" outlineLevel="0" collapsed="false">
      <c r="A56" s="31" t="s">
        <v>91</v>
      </c>
    </row>
    <row r="57" customFormat="false" ht="15" hidden="false" customHeight="true" outlineLevel="0" collapsed="false">
      <c r="A57" s="10" t="s">
        <v>92</v>
      </c>
    </row>
    <row r="58" customFormat="false" ht="15" hidden="false" customHeight="true" outlineLevel="0" collapsed="false">
      <c r="A58" s="32" t="s">
        <v>93</v>
      </c>
    </row>
    <row r="59" customFormat="false" ht="15" hidden="false" customHeight="true" outlineLevel="0" collapsed="false">
      <c r="A59" s="12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2026-10-22T19:46:44Z</dcterms:created>
  <dc:creator>openpyxl</dc:creator>
  <dc:description/>
  <dc:language>en-US</dc:language>
  <cp:lastModifiedBy/>
  <dcterms:modified xsi:type="dcterms:W3CDTF">2026-10-22T19:49:12Z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