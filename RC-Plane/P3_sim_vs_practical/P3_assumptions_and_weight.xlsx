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Weight Build-u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<sst xmlns="http://schemas.openxmlformats.org/spreadsheetml/2006/main" count="131" uniqueCount="104">
  <si>
    <t xml:space="preserve">P3 — Key Assumptions (IIT Mandi RC aircraft, Techfest 2026, IIT Bombay, 16–18 Dec 2026)</t>
  </si>
  <si>
    <t xml:space="preserve">Every figure used in the P3 proposal, with its source. Weight figures are worked out on the Weight Build-up tab.</t>
  </si>
  <si>
    <t xml:space="preserve">Item</t>
  </si>
  <si>
    <t xml:space="preserve">Assumption</t>
  </si>
  <si>
    <t xml:space="preserve">Source / reasoning</t>
  </si>
  <si>
    <t xml:space="preserve">Aircraft</t>
  </si>
  <si>
    <t xml:space="preserve">Electric, single motor, 1.1 m span, high-wing trainer, 5 mm foam board with 6 mm carbon spar</t>
  </si>
  <si>
    <t xml:space="preserve">Same aircraft as P4</t>
  </si>
  <si>
    <t xml:space="preserve">Electronics</t>
  </si>
  <si>
    <t xml:space="preserve">FlySky FS-i6 radio, A2212 1000 KV motor, 30 A ESC, 1045 prop, 3S 2200 mAh 40C LiPo, 4 × SG90 servos</t>
  </si>
  <si>
    <t xml:space="preserve">P4 chosen build</t>
  </si>
  <si>
    <t xml:space="preserve">Budget</t>
  </si>
  <si>
    <t xml:space="preserve">≈ ₹11,500 for the aircraft + ≈ ₹2,000 spares ≈ ₹13,500</t>
  </si>
  <si>
    <t xml:space="preserve">P4 BOM, prices checked 23 Oct 2026</t>
  </si>
  <si>
    <t xml:space="preserve">Team and time</t>
  </si>
  <si>
    <t xml:space="preserve">4 members; build window 9 Nov – 6 Dec 2026, buffer 7–12 Dec, travel 13–15 Dec</t>
  </si>
  <si>
    <t xml:space="preserve">Techfest dates 16–18 Dec 2026</t>
  </si>
  <si>
    <t xml:space="preserve">Design all-up mass</t>
  </si>
  <si>
    <t xml:space="preserve">1,200 g</t>
  </si>
  <si>
    <t xml:space="preserve">1,144 g calculated (Weight Build-up tab) rounded up ≈ 5% for glue and build errors</t>
  </si>
  <si>
    <t xml:space="preserve">Wing area and chord</t>
  </si>
  <si>
    <t xml:space="preserve">S ≈ 0.29 m², mean chord ≈ 0.26 m</t>
  </si>
  <si>
    <t xml:space="preserve">W/S = 40 N/m² (slow foam trainer); c = S ÷ b</t>
  </si>
  <si>
    <t xml:space="preserve">CG target</t>
  </si>
  <si>
    <t xml:space="preserve">65 mm behind the leading edge</t>
  </si>
  <si>
    <t xml:space="preserve">25% of the 0.26 m mean chord — standard trainer CG position</t>
  </si>
  <si>
    <t xml:space="preserve">Static thrust target</t>
  </si>
  <si>
    <t xml:space="preserve">≥ 600 g</t>
  </si>
  <si>
    <t xml:space="preserve">50% of the design weight (trainer guideline); expected ≈ 885 g from the A2212 1000 KV thrust table</t>
  </si>
  <si>
    <t xml:space="preserve">Payload</t>
  </si>
  <si>
    <t xml:space="preserve">300 g</t>
  </si>
  <si>
    <t xml:space="preserve">Assumed mission payload, not from the Techfest rulebook</t>
  </si>
  <si>
    <t xml:space="preserve">Test vs competition site</t>
  </si>
  <si>
    <t xml:space="preserve">Kamand ≈ 1,000 m, cold; Mumbai sea level, ≈ 10% denser air</t>
  </si>
  <si>
    <t xml:space="preserve">Denser air at the venue gives slightly more lift and thrust — a safe direction</t>
  </si>
  <si>
    <t xml:space="preserve">Transport</t>
  </si>
  <si>
    <t xml:space="preserve">Detachable wing; 3S 2200 mAh LiPo = 24.4 Wh</t>
  </si>
  <si>
    <t xml:space="preserve">Below the 100 Wh airline cabin limit</t>
  </si>
  <si>
    <t xml:space="preserve">Scope</t>
  </si>
  <si>
    <t xml:space="preserve">No simulation software was run for this proposal</t>
  </si>
  <si>
    <t xml:space="preserve">Simulation is discussed as a design approach</t>
  </si>
  <si>
    <t xml:space="preserve">RC Aircraft Weight Build-up</t>
  </si>
  <si>
    <t xml:space="preserve">Bottom-up estimate of the all-up weight. Blue = input, black = formula, green = linked input.</t>
  </si>
  <si>
    <t xml:space="preserve">Inputs</t>
  </si>
  <si>
    <t xml:space="preserve">Payload (g)</t>
  </si>
  <si>
    <t xml:space="preserve">Assumed mission payload (not from the Techfest rulebook)</t>
  </si>
  <si>
    <t xml:space="preserve">Design all-up weight (g)</t>
  </si>
  <si>
    <t xml:space="preserve">Calculated all-up weight rounded up for build margin</t>
  </si>
  <si>
    <t xml:space="preserve">Spar outer diameter (mm)</t>
  </si>
  <si>
    <t xml:space="preserve">6 × 4 mm pultruded carbon tube (Robu listing)</t>
  </si>
  <si>
    <t xml:space="preserve">Spar inner diameter (mm)</t>
  </si>
  <si>
    <t xml:space="preserve">Robu listing</t>
  </si>
  <si>
    <t xml:space="preserve">Spar length (mm)</t>
  </si>
  <si>
    <t xml:space="preserve">Two 500 mm tubes</t>
  </si>
  <si>
    <t xml:space="preserve">Carbon fibre density (g/cm³)</t>
  </si>
  <si>
    <t xml:space="preserve">Typical for pultruded carbon fibre</t>
  </si>
  <si>
    <t xml:space="preserve">Foam board sheet weight (g per 20×30 in sheet)</t>
  </si>
  <si>
    <t xml:space="preserve">Estimate for paper-faced foam board; weigh one sheet to confirm</t>
  </si>
  <si>
    <t xml:space="preserve">Foam sheets used</t>
  </si>
  <si>
    <t xml:space="preserve">Wing ≈ 1.5 sheets + fuselage and tail ≈ 1 sheet</t>
  </si>
  <si>
    <t xml:space="preserve">Spar cross-section area (mm²)</t>
  </si>
  <si>
    <t xml:space="preserve">Spar mass (g)</t>
  </si>
  <si>
    <t xml:space="preserve">area × length ÷ 1000 × density</t>
  </si>
  <si>
    <t xml:space="preserve">Part</t>
  </si>
  <si>
    <t xml:space="preserve">Category</t>
  </si>
  <si>
    <t xml:space="preserve">Qty</t>
  </si>
  <si>
    <t xml:space="preserve">Unit weight (g)</t>
  </si>
  <si>
    <t xml:space="preserve">Total weight (g)</t>
  </si>
  <si>
    <t xml:space="preserve">% of empty weight</t>
  </si>
  <si>
    <t xml:space="preserve">Confidence</t>
  </si>
  <si>
    <t xml:space="preserve">Source / notes</t>
  </si>
  <si>
    <t xml:space="preserve">3S 2200 mAh 40C LiPo battery</t>
  </si>
  <si>
    <t xml:space="preserve">Electronics &amp; battery</t>
  </si>
  <si>
    <t xml:space="preserve">Listing</t>
  </si>
  <si>
    <t xml:space="preserve">Robu listing, 175 g</t>
  </si>
  <si>
    <t xml:space="preserve">SG90 9 g servo</t>
  </si>
  <si>
    <t xml:space="preserve">Probots listing, 9 g each</t>
  </si>
  <si>
    <t xml:space="preserve">A2212 1000 KV motor</t>
  </si>
  <si>
    <t xml:space="preserve">Typical</t>
  </si>
  <si>
    <t xml:space="preserve">Thingbits listing ≈ 52 g</t>
  </si>
  <si>
    <t xml:space="preserve">30 A ESC</t>
  </si>
  <si>
    <t xml:space="preserve">Typical spec</t>
  </si>
  <si>
    <t xml:space="preserve">FS-iA6B receiver</t>
  </si>
  <si>
    <t xml:space="preserve">1045 propeller</t>
  </si>
  <si>
    <t xml:space="preserve">Carbon fibre spar 6×4 mm</t>
  </si>
  <si>
    <t xml:space="preserve">Structure</t>
  </si>
  <si>
    <t xml:space="preserve">Calculated</t>
  </si>
  <si>
    <t xml:space="preserve">From spar inputs above</t>
  </si>
  <si>
    <t xml:space="preserve">Foam board (paper-faced, 5 mm)</t>
  </si>
  <si>
    <t xml:space="preserve">Estimate</t>
  </si>
  <si>
    <t xml:space="preserve">Avoid PVC sunboard — much heavier</t>
  </si>
  <si>
    <t xml:space="preserve">Hot glue</t>
  </si>
  <si>
    <t xml:space="preserve">Hardware &amp; assembly</t>
  </si>
  <si>
    <t xml:space="preserve">Landing gear (steel wire)</t>
  </si>
  <si>
    <t xml:space="preserve">Wires and XT60 connectors</t>
  </si>
  <si>
    <t xml:space="preserve">Control horns and pushrods</t>
  </si>
  <si>
    <t xml:space="preserve">Tape</t>
  </si>
  <si>
    <t xml:space="preserve">Empty weight</t>
  </si>
  <si>
    <t xml:space="preserve">All-up weight (calculated)</t>
  </si>
  <si>
    <t xml:space="preserve">Design weight used for sizing</t>
  </si>
  <si>
    <t xml:space="preserve">Margin for build errors (g)</t>
  </si>
  <si>
    <t xml:space="preserve">Margin (% of design weight)</t>
  </si>
  <si>
    <t xml:space="preserve">Summary by category</t>
  </si>
  <si>
    <t xml:space="preserve">Weight (g)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</si>
</sst>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.0"/>
    <numFmt numFmtId="167" formatCode="#,##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6.8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26.8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5" t="s">
        <v>13</v>
      </c>
    </row>
    <row r="8" customFormat="false" ht="26.85" hidden="false" customHeight="false" outlineLevel="0" collapsed="false">
      <c r="A8" s="4" t="s">
        <v>14</v>
      </c>
      <c r="B8" s="5" t="s">
        <v>15</v>
      </c>
      <c r="C8" s="5" t="s">
        <v>16</v>
      </c>
    </row>
    <row r="9" customFormat="false" ht="26.85" hidden="false" customHeight="false" outlineLevel="0" collapsed="false">
      <c r="A9" s="4" t="s">
        <v>17</v>
      </c>
      <c r="B9" s="5" t="s">
        <v>18</v>
      </c>
      <c r="C9" s="5" t="s">
        <v>19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5" t="s">
        <v>22</v>
      </c>
    </row>
    <row r="11" customFormat="false" ht="15" hidden="false" customHeight="false" outlineLevel="0" collapsed="false">
      <c r="A11" s="4" t="s">
        <v>23</v>
      </c>
      <c r="B11" s="5" t="s">
        <v>24</v>
      </c>
      <c r="C11" s="5" t="s">
        <v>25</v>
      </c>
    </row>
    <row r="12" customFormat="false" ht="26.85" hidden="false" customHeight="false" outlineLevel="0" collapsed="false">
      <c r="A12" s="4" t="s">
        <v>26</v>
      </c>
      <c r="B12" s="5" t="s">
        <v>27</v>
      </c>
      <c r="C12" s="5" t="s">
        <v>28</v>
      </c>
    </row>
    <row r="13" customFormat="false" ht="15" hidden="false" customHeight="false" outlineLevel="0" collapsed="false">
      <c r="A13" s="4" t="s">
        <v>29</v>
      </c>
      <c r="B13" s="5" t="s">
        <v>30</v>
      </c>
      <c r="C13" s="5" t="s">
        <v>31</v>
      </c>
    </row>
    <row r="14" customFormat="false" ht="26.85" hidden="false" customHeight="false" outlineLevel="0" collapsed="false">
      <c r="A14" s="4" t="s">
        <v>32</v>
      </c>
      <c r="B14" s="5" t="s">
        <v>33</v>
      </c>
      <c r="C14" s="5" t="s">
        <v>34</v>
      </c>
    </row>
    <row r="15" customFormat="false" ht="15" hidden="false" customHeight="false" outlineLevel="0" collapsed="false">
      <c r="A15" s="4" t="s">
        <v>35</v>
      </c>
      <c r="B15" s="5" t="s">
        <v>36</v>
      </c>
      <c r="C15" s="5" t="s">
        <v>37</v>
      </c>
    </row>
    <row r="16" customFormat="false" ht="15" hidden="false" customHeight="false" outlineLevel="0" collapsed="false">
      <c r="A16" s="4" t="s">
        <v>38</v>
      </c>
      <c r="B16" s="5" t="s">
        <v>39</v>
      </c>
      <c r="C16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6" t="s">
        <v>43</v>
      </c>
    </row>
    <row r="5" customFormat="false" ht="15" hidden="false" customHeight="false" outlineLevel="0" collapsed="false">
      <c r="A5" s="7" t="s">
        <v>44</v>
      </c>
      <c r="B5" s="8" t="n">
        <v>300</v>
      </c>
      <c r="C5" s="9" t="s">
        <v>45</v>
      </c>
    </row>
    <row r="6" customFormat="false" ht="15" hidden="false" customHeight="false" outlineLevel="0" collapsed="false">
      <c r="A6" s="7" t="s">
        <v>46</v>
      </c>
      <c r="B6" s="8" t="n">
        <v>1200</v>
      </c>
      <c r="C6" s="9" t="s">
        <v>47</v>
      </c>
    </row>
    <row r="7" customFormat="false" ht="15" hidden="false" customHeight="false" outlineLevel="0" collapsed="false">
      <c r="A7" s="7" t="s">
        <v>48</v>
      </c>
      <c r="B7" s="8" t="n">
        <v>6</v>
      </c>
      <c r="C7" s="9" t="s">
        <v>49</v>
      </c>
    </row>
    <row r="8" customFormat="false" ht="15" hidden="false" customHeight="false" outlineLevel="0" collapsed="false">
      <c r="A8" s="7" t="s">
        <v>50</v>
      </c>
      <c r="B8" s="8" t="n">
        <v>4</v>
      </c>
      <c r="C8" s="9" t="s">
        <v>51</v>
      </c>
    </row>
    <row r="9" customFormat="false" ht="15" hidden="false" customHeight="false" outlineLevel="0" collapsed="false">
      <c r="A9" s="7" t="s">
        <v>52</v>
      </c>
      <c r="B9" s="8" t="n">
        <v>1000</v>
      </c>
      <c r="C9" s="9" t="s">
        <v>53</v>
      </c>
    </row>
    <row r="10" customFormat="false" ht="15" hidden="false" customHeight="false" outlineLevel="0" collapsed="false">
      <c r="A10" s="7" t="s">
        <v>54</v>
      </c>
      <c r="B10" s="8" t="n">
        <v>1.55</v>
      </c>
      <c r="C10" s="9" t="s">
        <v>55</v>
      </c>
    </row>
    <row r="11" customFormat="false" ht="15" hidden="false" customHeight="false" outlineLevel="0" collapsed="false">
      <c r="A11" s="7" t="s">
        <v>56</v>
      </c>
      <c r="B11" s="8" t="n">
        <v>140</v>
      </c>
      <c r="C11" s="9" t="s">
        <v>57</v>
      </c>
    </row>
    <row r="12" customFormat="false" ht="15" hidden="false" customHeight="false" outlineLevel="0" collapsed="false">
      <c r="A12" s="7" t="s">
        <v>58</v>
      </c>
      <c r="B12" s="8" t="n">
        <v>2.5</v>
      </c>
      <c r="C12" s="9" t="s">
        <v>59</v>
      </c>
    </row>
    <row r="14" customFormat="false" ht="15" hidden="false" customHeight="false" outlineLevel="0" collapsed="false">
      <c r="A14" s="7" t="s">
        <v>60</v>
      </c>
      <c r="B14" s="10" t="n">
        <f aca="false">PI()/4*($B$7^2-$B$8^2)</f>
        <v>15.707963267949</v>
      </c>
    </row>
    <row r="15" customFormat="false" ht="15" hidden="false" customHeight="false" outlineLevel="0" collapsed="false">
      <c r="A15" s="7" t="s">
        <v>61</v>
      </c>
      <c r="B15" s="10" t="n">
        <f aca="false">B14*$B$9/1000*$B$10</f>
        <v>24.3473430653209</v>
      </c>
      <c r="C15" s="9" t="s">
        <v>62</v>
      </c>
    </row>
    <row r="17" customFormat="false" ht="26.85" hidden="false" customHeight="false" outlineLevel="0" collapsed="false">
      <c r="A17" s="11" t="s">
        <v>63</v>
      </c>
      <c r="B17" s="11" t="s">
        <v>64</v>
      </c>
      <c r="C17" s="11" t="s">
        <v>65</v>
      </c>
      <c r="D17" s="11" t="s">
        <v>66</v>
      </c>
      <c r="E17" s="11" t="s">
        <v>67</v>
      </c>
      <c r="F17" s="11" t="s">
        <v>68</v>
      </c>
      <c r="G17" s="11" t="s">
        <v>69</v>
      </c>
      <c r="H17" s="11" t="s">
        <v>70</v>
      </c>
    </row>
    <row r="18" customFormat="false" ht="15" hidden="false" customHeight="false" outlineLevel="0" collapsed="false">
      <c r="A18" s="12" t="s">
        <v>71</v>
      </c>
      <c r="B18" s="12" t="s">
        <v>72</v>
      </c>
      <c r="C18" s="13" t="n">
        <v>1</v>
      </c>
      <c r="D18" s="14" t="n">
        <v>175</v>
      </c>
      <c r="E18" s="15" t="n">
        <f aca="false">C18*D18</f>
        <v>175</v>
      </c>
      <c r="F18" s="16" t="n">
        <f aca="false">E18/$E$31</f>
        <v>0.207260674694231</v>
      </c>
      <c r="G18" s="12" t="s">
        <v>73</v>
      </c>
      <c r="H18" s="17" t="s">
        <v>74</v>
      </c>
    </row>
    <row r="19" customFormat="false" ht="15" hidden="false" customHeight="false" outlineLevel="0" collapsed="false">
      <c r="A19" s="12" t="s">
        <v>75</v>
      </c>
      <c r="B19" s="12" t="s">
        <v>72</v>
      </c>
      <c r="C19" s="13" t="n">
        <v>4</v>
      </c>
      <c r="D19" s="14" t="n">
        <v>9</v>
      </c>
      <c r="E19" s="15" t="n">
        <f aca="false">C19*D19</f>
        <v>36</v>
      </c>
      <c r="F19" s="16" t="n">
        <f aca="false">E19/$E$31</f>
        <v>0.0426364816513847</v>
      </c>
      <c r="G19" s="12" t="s">
        <v>73</v>
      </c>
      <c r="H19" s="17" t="s">
        <v>76</v>
      </c>
    </row>
    <row r="20" customFormat="false" ht="15" hidden="false" customHeight="false" outlineLevel="0" collapsed="false">
      <c r="A20" s="12" t="s">
        <v>77</v>
      </c>
      <c r="B20" s="12" t="s">
        <v>72</v>
      </c>
      <c r="C20" s="13" t="n">
        <v>1</v>
      </c>
      <c r="D20" s="14" t="n">
        <v>52</v>
      </c>
      <c r="E20" s="15" t="n">
        <f aca="false">C20*D20</f>
        <v>52</v>
      </c>
      <c r="F20" s="16" t="n">
        <f aca="false">E20/$E$31</f>
        <v>0.0615860290520002</v>
      </c>
      <c r="G20" s="12" t="s">
        <v>78</v>
      </c>
      <c r="H20" s="17" t="s">
        <v>79</v>
      </c>
    </row>
    <row r="21" customFormat="false" ht="15" hidden="false" customHeight="false" outlineLevel="0" collapsed="false">
      <c r="A21" s="12" t="s">
        <v>80</v>
      </c>
      <c r="B21" s="12" t="s">
        <v>72</v>
      </c>
      <c r="C21" s="13" t="n">
        <v>1</v>
      </c>
      <c r="D21" s="14" t="n">
        <v>25</v>
      </c>
      <c r="E21" s="15" t="n">
        <f aca="false">C21*D21</f>
        <v>25</v>
      </c>
      <c r="F21" s="16" t="n">
        <f aca="false">E21/$E$31</f>
        <v>0.0296086678134616</v>
      </c>
      <c r="G21" s="12" t="s">
        <v>78</v>
      </c>
      <c r="H21" s="17" t="s">
        <v>81</v>
      </c>
    </row>
    <row r="22" customFormat="false" ht="15" hidden="false" customHeight="false" outlineLevel="0" collapsed="false">
      <c r="A22" s="12" t="s">
        <v>82</v>
      </c>
      <c r="B22" s="12" t="s">
        <v>72</v>
      </c>
      <c r="C22" s="13" t="n">
        <v>1</v>
      </c>
      <c r="D22" s="14" t="n">
        <v>15</v>
      </c>
      <c r="E22" s="15" t="n">
        <f aca="false">C22*D22</f>
        <v>15</v>
      </c>
      <c r="F22" s="16" t="n">
        <f aca="false">E22/$E$31</f>
        <v>0.017765200688077</v>
      </c>
      <c r="G22" s="12" t="s">
        <v>78</v>
      </c>
      <c r="H22" s="17" t="s">
        <v>81</v>
      </c>
    </row>
    <row r="23" customFormat="false" ht="15" hidden="false" customHeight="false" outlineLevel="0" collapsed="false">
      <c r="A23" s="12" t="s">
        <v>83</v>
      </c>
      <c r="B23" s="12" t="s">
        <v>72</v>
      </c>
      <c r="C23" s="13" t="n">
        <v>1</v>
      </c>
      <c r="D23" s="14" t="n">
        <v>12</v>
      </c>
      <c r="E23" s="15" t="n">
        <f aca="false">C23*D23</f>
        <v>12</v>
      </c>
      <c r="F23" s="16" t="n">
        <f aca="false">E23/$E$31</f>
        <v>0.0142121605504616</v>
      </c>
      <c r="G23" s="12" t="s">
        <v>78</v>
      </c>
      <c r="H23" s="17" t="s">
        <v>81</v>
      </c>
    </row>
    <row r="24" customFormat="false" ht="15" hidden="false" customHeight="false" outlineLevel="0" collapsed="false">
      <c r="A24" s="12" t="s">
        <v>84</v>
      </c>
      <c r="B24" s="12" t="s">
        <v>85</v>
      </c>
      <c r="C24" s="13" t="n">
        <v>1</v>
      </c>
      <c r="D24" s="18" t="n">
        <f aca="false">B15</f>
        <v>24.3473430653209</v>
      </c>
      <c r="E24" s="15" t="n">
        <f aca="false">C24*D24</f>
        <v>24.3473430653209</v>
      </c>
      <c r="F24" s="16" t="n">
        <f aca="false">E24/$E$31</f>
        <v>0.028835695718459</v>
      </c>
      <c r="G24" s="12" t="s">
        <v>86</v>
      </c>
      <c r="H24" s="17" t="s">
        <v>87</v>
      </c>
    </row>
    <row r="25" customFormat="false" ht="15" hidden="false" customHeight="false" outlineLevel="0" collapsed="false">
      <c r="A25" s="12" t="s">
        <v>88</v>
      </c>
      <c r="B25" s="12" t="s">
        <v>85</v>
      </c>
      <c r="C25" s="19" t="n">
        <f aca="false">$B$12</f>
        <v>2.5</v>
      </c>
      <c r="D25" s="18" t="n">
        <f aca="false">$B$11</f>
        <v>140</v>
      </c>
      <c r="E25" s="15" t="n">
        <f aca="false">C25*D25</f>
        <v>350</v>
      </c>
      <c r="F25" s="16" t="n">
        <f aca="false">E25/$E$31</f>
        <v>0.414521349388463</v>
      </c>
      <c r="G25" s="12" t="s">
        <v>89</v>
      </c>
      <c r="H25" s="17" t="s">
        <v>90</v>
      </c>
    </row>
    <row r="26" customFormat="false" ht="15" hidden="false" customHeight="false" outlineLevel="0" collapsed="false">
      <c r="A26" s="12" t="s">
        <v>91</v>
      </c>
      <c r="B26" s="12" t="s">
        <v>92</v>
      </c>
      <c r="C26" s="13" t="n">
        <v>1</v>
      </c>
      <c r="D26" s="14" t="n">
        <v>50</v>
      </c>
      <c r="E26" s="15" t="n">
        <f aca="false">C26*D26</f>
        <v>50</v>
      </c>
      <c r="F26" s="16" t="n">
        <f aca="false">E26/$E$31</f>
        <v>0.0592173356269232</v>
      </c>
      <c r="G26" s="12" t="s">
        <v>89</v>
      </c>
      <c r="H26" s="17"/>
    </row>
    <row r="27" customFormat="false" ht="15" hidden="false" customHeight="false" outlineLevel="0" collapsed="false">
      <c r="A27" s="12" t="s">
        <v>93</v>
      </c>
      <c r="B27" s="12" t="s">
        <v>92</v>
      </c>
      <c r="C27" s="13" t="n">
        <v>1</v>
      </c>
      <c r="D27" s="14" t="n">
        <v>40</v>
      </c>
      <c r="E27" s="15" t="n">
        <f aca="false">C27*D27</f>
        <v>40</v>
      </c>
      <c r="F27" s="16" t="n">
        <f aca="false">E27/$E$31</f>
        <v>0.0473738685015386</v>
      </c>
      <c r="G27" s="12" t="s">
        <v>89</v>
      </c>
      <c r="H27" s="17"/>
    </row>
    <row r="28" customFormat="false" ht="15" hidden="false" customHeight="false" outlineLevel="0" collapsed="false">
      <c r="A28" s="12" t="s">
        <v>94</v>
      </c>
      <c r="B28" s="12" t="s">
        <v>92</v>
      </c>
      <c r="C28" s="13" t="n">
        <v>1</v>
      </c>
      <c r="D28" s="14" t="n">
        <v>30</v>
      </c>
      <c r="E28" s="15" t="n">
        <f aca="false">C28*D28</f>
        <v>30</v>
      </c>
      <c r="F28" s="16" t="n">
        <f aca="false">E28/$E$31</f>
        <v>0.0355304013761539</v>
      </c>
      <c r="G28" s="12" t="s">
        <v>89</v>
      </c>
      <c r="H28" s="17"/>
    </row>
    <row r="29" customFormat="false" ht="15" hidden="false" customHeight="false" outlineLevel="0" collapsed="false">
      <c r="A29" s="12" t="s">
        <v>95</v>
      </c>
      <c r="B29" s="12" t="s">
        <v>92</v>
      </c>
      <c r="C29" s="13" t="n">
        <v>1</v>
      </c>
      <c r="D29" s="14" t="n">
        <v>15</v>
      </c>
      <c r="E29" s="15" t="n">
        <f aca="false">C29*D29</f>
        <v>15</v>
      </c>
      <c r="F29" s="16" t="n">
        <f aca="false">E29/$E$31</f>
        <v>0.017765200688077</v>
      </c>
      <c r="G29" s="12" t="s">
        <v>89</v>
      </c>
      <c r="H29" s="17"/>
    </row>
    <row r="30" customFormat="false" ht="15" hidden="false" customHeight="false" outlineLevel="0" collapsed="false">
      <c r="A30" s="12" t="s">
        <v>96</v>
      </c>
      <c r="B30" s="12" t="s">
        <v>92</v>
      </c>
      <c r="C30" s="13" t="n">
        <v>1</v>
      </c>
      <c r="D30" s="14" t="n">
        <v>20</v>
      </c>
      <c r="E30" s="15" t="n">
        <f aca="false">C30*D30</f>
        <v>20</v>
      </c>
      <c r="F30" s="16" t="n">
        <f aca="false">E30/$E$31</f>
        <v>0.0236869342507693</v>
      </c>
      <c r="G30" s="12" t="s">
        <v>89</v>
      </c>
      <c r="H30" s="17"/>
    </row>
    <row r="31" customFormat="false" ht="15" hidden="false" customHeight="false" outlineLevel="0" collapsed="false">
      <c r="A31" s="20" t="s">
        <v>97</v>
      </c>
      <c r="B31" s="21"/>
      <c r="C31" s="21"/>
      <c r="D31" s="21"/>
      <c r="E31" s="22" t="n">
        <f aca="false">SUM(E18:E30)</f>
        <v>844.347343065321</v>
      </c>
      <c r="F31" s="21"/>
      <c r="G31" s="21"/>
      <c r="H31" s="21"/>
    </row>
    <row r="32" customFormat="false" ht="15" hidden="false" customHeight="false" outlineLevel="0" collapsed="false">
      <c r="A32" s="20" t="s">
        <v>29</v>
      </c>
      <c r="B32" s="21"/>
      <c r="C32" s="21"/>
      <c r="D32" s="21"/>
      <c r="E32" s="23" t="n">
        <f aca="false">$B$5</f>
        <v>300</v>
      </c>
      <c r="F32" s="21"/>
      <c r="G32" s="21"/>
      <c r="H32" s="21"/>
    </row>
    <row r="33" customFormat="false" ht="15" hidden="false" customHeight="false" outlineLevel="0" collapsed="false">
      <c r="A33" s="20" t="s">
        <v>98</v>
      </c>
      <c r="B33" s="21"/>
      <c r="C33" s="21"/>
      <c r="D33" s="21"/>
      <c r="E33" s="24" t="n">
        <f aca="false">E31+E32</f>
        <v>1144.34734306532</v>
      </c>
      <c r="F33" s="21"/>
      <c r="G33" s="21"/>
      <c r="H33" s="21"/>
    </row>
    <row r="34" customFormat="false" ht="15" hidden="false" customHeight="false" outlineLevel="0" collapsed="false">
      <c r="A34" s="20" t="s">
        <v>99</v>
      </c>
      <c r="B34" s="21"/>
      <c r="C34" s="21"/>
      <c r="D34" s="21"/>
      <c r="E34" s="23" t="n">
        <f aca="false">$B$6</f>
        <v>1200</v>
      </c>
      <c r="F34" s="21"/>
      <c r="G34" s="21"/>
      <c r="H34" s="21"/>
    </row>
    <row r="35" customFormat="false" ht="15" hidden="false" customHeight="false" outlineLevel="0" collapsed="false">
      <c r="A35" s="20" t="s">
        <v>100</v>
      </c>
      <c r="B35" s="21"/>
      <c r="C35" s="21"/>
      <c r="D35" s="21"/>
      <c r="E35" s="22" t="n">
        <f aca="false">E34-E33</f>
        <v>55.6526569346793</v>
      </c>
      <c r="F35" s="21"/>
      <c r="G35" s="21"/>
      <c r="H35" s="21"/>
    </row>
    <row r="36" customFormat="false" ht="15" hidden="false" customHeight="false" outlineLevel="0" collapsed="false">
      <c r="A36" s="20" t="s">
        <v>101</v>
      </c>
      <c r="B36" s="21"/>
      <c r="C36" s="21"/>
      <c r="D36" s="21"/>
      <c r="E36" s="25" t="n">
        <f aca="false">IF(E34=0,0,E35/E34)</f>
        <v>0.0463772141122327</v>
      </c>
      <c r="F36" s="21"/>
      <c r="G36" s="21"/>
      <c r="H36" s="21"/>
    </row>
    <row r="39" customFormat="false" ht="15" hidden="false" customHeight="false" outlineLevel="0" collapsed="false">
      <c r="A39" s="6" t="s">
        <v>102</v>
      </c>
    </row>
    <row r="40" customFormat="false" ht="15" hidden="false" customHeight="false" outlineLevel="0" collapsed="false">
      <c r="A40" s="26" t="s">
        <v>64</v>
      </c>
      <c r="B40" s="26" t="s">
        <v>103</v>
      </c>
      <c r="C40" s="26" t="s">
        <v>68</v>
      </c>
    </row>
    <row r="41" customFormat="false" ht="15" hidden="false" customHeight="false" outlineLevel="0" collapsed="false">
      <c r="A41" s="12" t="s">
        <v>72</v>
      </c>
      <c r="B41" s="15" t="n">
        <f aca="false">SUMIF($B$18:$B$30,A41,$E$18:$E$30)</f>
        <v>315</v>
      </c>
      <c r="C41" s="16" t="n">
        <f aca="false">B41/$E$31</f>
        <v>0.373069214449616</v>
      </c>
    </row>
    <row r="42" customFormat="false" ht="15" hidden="false" customHeight="false" outlineLevel="0" collapsed="false">
      <c r="A42" s="12" t="s">
        <v>85</v>
      </c>
      <c r="B42" s="15" t="n">
        <f aca="false">SUMIF($B$18:$B$30,A42,$E$18:$E$30)</f>
        <v>374.347343065321</v>
      </c>
      <c r="C42" s="16" t="n">
        <f aca="false">B42/$E$31</f>
        <v>0.443357045106922</v>
      </c>
    </row>
    <row r="43" customFormat="false" ht="15" hidden="false" customHeight="false" outlineLevel="0" collapsed="false">
      <c r="A43" s="12" t="s">
        <v>92</v>
      </c>
      <c r="B43" s="15" t="n">
        <f aca="false">SUMIF($B$18:$B$30,A43,$E$18:$E$30)</f>
        <v>155</v>
      </c>
      <c r="C43" s="16" t="n">
        <f aca="false">B43/$E$31</f>
        <v>0.183573740443462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2026-10-26T17:31:57Z</dcterms:created>
  <dc:creator>openpyxl</dc:creator>
  <dc:description/>
  <dc:language>en-US</dc:language>
  <cp:lastModifiedBy/>
  <dcterms:modified xsi:type="dcterms:W3CDTF">2026-10-26T17:31:57Z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