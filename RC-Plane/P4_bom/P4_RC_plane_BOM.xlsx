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 Options" sheetId="1" state="visible" r:id="rId3"/>
    <sheet name="Configurations" sheetId="2" state="visible" r:id="rId4"/>
    <sheet name="Engineering Checks" sheetId="3" state="visible" r:id="rId5"/>
    <sheet name="Weight Build-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<sst xmlns="http://schemas.openxmlformats.org/spreadsheetml/2006/main" count="507" uniqueCount="318">
  <si>
    <t xml:space="preserve">P4 — RC Aircraft Bill of Materials: Component Options</t>
  </si>
  <si>
    <t xml:space="preserve">Prices include GST, checked 23 Oct 2026. Blue = input from a shop listing or estimate. Stock status as seen on that date.</t>
  </si>
  <si>
    <t xml:space="preserve">ID</t>
  </si>
  <si>
    <t xml:space="preserve">Component</t>
  </si>
  <si>
    <t xml:space="preserve">Option</t>
  </si>
  <si>
    <t xml:space="preserve">Product</t>
  </si>
  <si>
    <t xml:space="preserve">Key specifications</t>
  </si>
  <si>
    <t xml:space="preserve">Unit price (₹)</t>
  </si>
  <si>
    <t xml:space="preserve">Stock (23 Oct)</t>
  </si>
  <si>
    <t xml:space="preserve">Source</t>
  </si>
  <si>
    <t xml:space="preserve">Price basis</t>
  </si>
  <si>
    <t xml:space="preserve">TX1</t>
  </si>
  <si>
    <t xml:space="preserve">Transmitter + receiver</t>
  </si>
  <si>
    <t xml:space="preserve">1</t>
  </si>
  <si>
    <t xml:space="preserve">FlySky FS-i6 + FS-iA6B</t>
  </si>
  <si>
    <t xml:space="preserve">6 ch, AFHDS 2A, LCD menu (failsafe, mixing set on the radio)</t>
  </si>
  <si>
    <t xml:space="preserve">In stock</t>
  </si>
  <si>
    <t xml:space="preserve">https://probots.co.in/fs-i6-2-4-ghz-6-channel-remote-radio-controller-for-fpv-quadcopter-tx-rx-mode-2.html</t>
  </si>
  <si>
    <t xml:space="preserve">Listing</t>
  </si>
  <si>
    <t xml:space="preserve">TX2</t>
  </si>
  <si>
    <t xml:space="preserve">2</t>
  </si>
  <si>
    <t xml:space="preserve">FlySky CT6B + FS-R6B</t>
  </si>
  <si>
    <t xml:space="preserve">6 ch, 2.4 GHz GFSK, no LCD — set up from a PC (T6config), 8 × AA</t>
  </si>
  <si>
    <t xml:space="preserve">https://st.robu.in/product/ct6b-flysky-2-4ghz-6ch-transmitter-wfs-r6b-receiver-mode-2</t>
  </si>
  <si>
    <t xml:space="preserve">MO1</t>
  </si>
  <si>
    <t xml:space="preserve">Motor</t>
  </si>
  <si>
    <t xml:space="preserve">A2212 1000 KV outrunner</t>
  </si>
  <si>
    <t xml:space="preserve">3S; 885 g thrust, 15.6 A, 173 W with 1047 prop at 11.1 V (Thingbits table); 52–64 g; 3.17 mm shaft</t>
  </si>
  <si>
    <t xml:space="preserve">https://st.robu.in/product/a2212-10t-13t-1000kv-brushless-motor-without-soldered-connector</t>
  </si>
  <si>
    <t xml:space="preserve">MO2</t>
  </si>
  <si>
    <t xml:space="preserve">Emax XA2212 980 KV (original)</t>
  </si>
  <si>
    <t xml:space="preserve">3S; ≈ 880 g thrust with 10-inch prop; branded, better quality control; ≈ 90 g</t>
  </si>
  <si>
    <t xml:space="preserve">https://zbotic.in/product/xa2212-980kv-outrunner-brushless-dc-motor/</t>
  </si>
  <si>
    <t xml:space="preserve">ES1</t>
  </si>
  <si>
    <t xml:space="preserve">ESC</t>
  </si>
  <si>
    <t xml:space="preserve">SimonK 30 A ESC</t>
  </si>
  <si>
    <t xml:space="preserve">30 A continuous, 2–3S, BEC 5 V / 3 A</t>
  </si>
  <si>
    <t xml:space="preserve">https://probots.co.in/simonk-30a-bldc-esc-electronic-speed-controller-with-connectors.html</t>
  </si>
  <si>
    <t xml:space="preserve">ES2</t>
  </si>
  <si>
    <t xml:space="preserve">Brushless 40 A ESC</t>
  </si>
  <si>
    <t xml:space="preserve">40 A continuous, 60 A burst, 2–4S, BEC 5 V / 3 A, 34 g</t>
  </si>
  <si>
    <t xml:space="preserve">Out of stock (25–30 days)</t>
  </si>
  <si>
    <t xml:space="preserve">https://st.robu.in/?p=1289668</t>
  </si>
  <si>
    <t xml:space="preserve">PR1</t>
  </si>
  <si>
    <t xml:space="preserve">Propeller (pair)</t>
  </si>
  <si>
    <t xml:space="preserve">1045 propeller (10 × 4.5 in)</t>
  </si>
  <si>
    <t xml:space="preserve">Plastic, 1 CW + 1 CCW; tractor plane uses one</t>
  </si>
  <si>
    <t xml:space="preserve">https://probots.co.in/black-1045-blade-propeller-10-inch-10x4-5-pair.html</t>
  </si>
  <si>
    <t xml:space="preserve">PR2</t>
  </si>
  <si>
    <t xml:space="preserve">Emax 1045 ABS propeller</t>
  </si>
  <si>
    <t xml:space="preserve">Branded, better balanced; 1 CW + 1 CCW</t>
  </si>
  <si>
    <t xml:space="preserve">https://st.robu.in/product/emax-104510x4-5-abs-propellers-black-1cw1ccw</t>
  </si>
  <si>
    <t xml:space="preserve">BA1</t>
  </si>
  <si>
    <t xml:space="preserve">Battery</t>
  </si>
  <si>
    <t xml:space="preserve">Orange 3S 2200 mAh 40C LiPo</t>
  </si>
  <si>
    <t xml:space="preserve">11.1 V, 175 g, 40C (88 A), XT60 + JST-XH</t>
  </si>
  <si>
    <t xml:space="preserve">Out of stock</t>
  </si>
  <si>
    <t xml:space="preserve">https://st.robu.in/?p=30983</t>
  </si>
  <si>
    <t xml:space="preserve">BA2</t>
  </si>
  <si>
    <t xml:space="preserve">Orange 3S 1800 mAh 40C LiPo</t>
  </si>
  <si>
    <t xml:space="preserve">11.1 V, 168 g, 40C (72 A), XT60 + JST-XH</t>
  </si>
  <si>
    <t xml:space="preserve">https://stg.robu.in/?p=32012</t>
  </si>
  <si>
    <t xml:space="preserve">SV1</t>
  </si>
  <si>
    <t xml:space="preserve">Servo</t>
  </si>
  <si>
    <t xml:space="preserve">SG90 9 g micro servo</t>
  </si>
  <si>
    <t xml:space="preserve">Plastic gears, 1.6–1.8 kg·cm, 9 g</t>
  </si>
  <si>
    <t xml:space="preserve">https://probots.co.in/mini-servo-motor-sg90-for-arduino-rc-planes-9g-9-gram.html</t>
  </si>
  <si>
    <t xml:space="preserve">SV2</t>
  </si>
  <si>
    <t xml:space="preserve">MG90S metal-gear micro servo</t>
  </si>
  <si>
    <t xml:space="preserve">Metal gears, ≈ 2.2 kg·cm at 6 V, 13.4 g</t>
  </si>
  <si>
    <t xml:space="preserve">https://probots.co.in/mini-servo-motor-mg90s-metal-gear-for-arduino-rc-planes.html</t>
  </si>
  <si>
    <t xml:space="preserve">CH1</t>
  </si>
  <si>
    <t xml:space="preserve">Charger</t>
  </si>
  <si>
    <t xml:space="preserve">IMAX B6AC balance charger</t>
  </si>
  <si>
    <t xml:space="preserve">80 W, up to 6 A, built-in AC adapter, 1–6S</t>
  </si>
  <si>
    <t xml:space="preserve">https://probots.co.in/imax-b6ac-battery-charger.html</t>
  </si>
  <si>
    <t xml:space="preserve">CH2</t>
  </si>
  <si>
    <t xml:space="preserve">IMAX B3 Pro compact charger</t>
  </si>
  <si>
    <t xml:space="preserve">2–3S only, 0.8 A per cell, AC input (EU plug)</t>
  </si>
  <si>
    <t xml:space="preserve">https://probots.co.in/imax-b3-pro-balance-charger-for-2s-3s-lipo-battery.html</t>
  </si>
  <si>
    <t xml:space="preserve">PU1</t>
  </si>
  <si>
    <t xml:space="preserve">Pushrods</t>
  </si>
  <si>
    <t xml:space="preserve">Z-type steel pushrod 1.2 × 260 mm (pack of 2)</t>
  </si>
  <si>
    <t xml:space="preserve">Steel wire with Z-bend ends</t>
  </si>
  <si>
    <t xml:space="preserve">https://st.robu.in/?p=453178</t>
  </si>
  <si>
    <t xml:space="preserve">PU2</t>
  </si>
  <si>
    <t xml:space="preserve">M3 stainless servo linkage rod 200 mm</t>
  </si>
  <si>
    <t xml:space="preserve">Adjustable length, threaded ends</t>
  </si>
  <si>
    <t xml:space="preserve">https://probots.co.in/m3-servo-linkage-rod-200mm-stainless-steel-push-rod.html</t>
  </si>
  <si>
    <t xml:space="preserve">SP1</t>
  </si>
  <si>
    <t xml:space="preserve">Wing spar</t>
  </si>
  <si>
    <t xml:space="preserve">Carbon fibre tube 6 × 4 × 500 mm (pack of 2)</t>
  </si>
  <si>
    <t xml:space="preserve">≈ 24 g per metre (see weight build-up)</t>
  </si>
  <si>
    <t xml:space="preserve">—</t>
  </si>
  <si>
    <t xml:space="preserve">https://stgaws.robu.in/?p=894433</t>
  </si>
  <si>
    <t xml:space="preserve">HO1</t>
  </si>
  <si>
    <t xml:space="preserve">Control horns</t>
  </si>
  <si>
    <t xml:space="preserve">Nylon control horn (pack of 2 + screws)</t>
  </si>
  <si>
    <t xml:space="preserve">For ailerons, elevator, rudder</t>
  </si>
  <si>
    <t xml:space="preserve">https://probots.co.in/control-horn-for-rc-plane-nylon-with-screws-large-size.html</t>
  </si>
  <si>
    <t xml:space="preserve">EX1</t>
  </si>
  <si>
    <t xml:space="preserve">Servo extension lead</t>
  </si>
  <si>
    <t xml:space="preserve">Servo extension 30 cm</t>
  </si>
  <si>
    <t xml:space="preserve">Male–female, for wing servos</t>
  </si>
  <si>
    <t xml:space="preserve">https://probots.co.in/servo-extension-cable-30cm-male-to-female-wire.html</t>
  </si>
  <si>
    <t xml:space="preserve">XT1</t>
  </si>
  <si>
    <t xml:space="preserve">Battery connector</t>
  </si>
  <si>
    <t xml:space="preserve">XT60 male + female pair</t>
  </si>
  <si>
    <t xml:space="preserve">Battery ↔ ESC</t>
  </si>
  <si>
    <t xml:space="preserve">https://probots.co.in/xt60-connector-male-and-female-for-rc-lipo-battery.html</t>
  </si>
  <si>
    <t xml:space="preserve">LB1</t>
  </si>
  <si>
    <t xml:space="preserve">LiPo safety bag</t>
  </si>
  <si>
    <t xml:space="preserve">Fire-resistant LiPo bag 220 × 100 × 75 mm</t>
  </si>
  <si>
    <t xml:space="preserve">Charging and transport (needed for airline cabin baggage)</t>
  </si>
  <si>
    <t xml:space="preserve">https://probots.co.in/220x100x75mm-lithium-polymer-battery-fire-and-water-resistant-lipo-li-ion-protection-bag.html</t>
  </si>
  <si>
    <t xml:space="preserve">FO1</t>
  </si>
  <si>
    <t xml:space="preserve">Foam board</t>
  </si>
  <si>
    <t xml:space="preserve">5 mm paper-faced foam board, 20 × 30 in</t>
  </si>
  <si>
    <t xml:space="preserve">Local stationery / art shop; avoid PVC sunboard</t>
  </si>
  <si>
    <t xml:space="preserve">Local</t>
  </si>
  <si>
    <t xml:space="preserve">Estimate</t>
  </si>
  <si>
    <t xml:space="preserve">WH1</t>
  </si>
  <si>
    <t xml:space="preserve">Wheels (pair)</t>
  </si>
  <si>
    <t xml:space="preserve">≈ 50 mm RC plane wheels</t>
  </si>
  <si>
    <t xml:space="preserve">No Indian listing found; price is an estimate</t>
  </si>
  <si>
    <t xml:space="preserve">LG1</t>
  </si>
  <si>
    <t xml:space="preserve">Landing gear wire</t>
  </si>
  <si>
    <t xml:space="preserve">Steel wire ≈ 2 mm, bent to shape</t>
  </si>
  <si>
    <t xml:space="preserve">Hardware shop</t>
  </si>
  <si>
    <t xml:space="preserve">GL1</t>
  </si>
  <si>
    <t xml:space="preserve">Hot glue gun + sticks</t>
  </si>
  <si>
    <t xml:space="preserve">Hot glue gun with sticks</t>
  </si>
  <si>
    <t xml:space="preserve">Assembly and field repairs</t>
  </si>
  <si>
    <t xml:space="preserve">TA1</t>
  </si>
  <si>
    <t xml:space="preserve">Tape</t>
  </si>
  <si>
    <t xml:space="preserve">Packing / fibre tape</t>
  </si>
  <si>
    <t xml:space="preserve">Hinges and reinforcement</t>
  </si>
  <si>
    <t xml:space="preserve">SH1</t>
  </si>
  <si>
    <t xml:space="preserve">Shipping</t>
  </si>
  <si>
    <t xml:space="preserve">Delivery to Mandi (≈ 2 orders)</t>
  </si>
  <si>
    <t xml:space="preserve">P4 — Budget vs Performance Configurations</t>
  </si>
  <si>
    <t xml:space="preserve">Unit prices link to the Component Options tab (green). Quantities in blue can be changed.</t>
  </si>
  <si>
    <t xml:space="preserve">Budget: choice</t>
  </si>
  <si>
    <t xml:space="preserve">Qty</t>
  </si>
  <si>
    <t xml:space="preserve">Unit (₹)</t>
  </si>
  <si>
    <t xml:space="preserve">Total (₹)</t>
  </si>
  <si>
    <t xml:space="preserve">Performance: choice</t>
  </si>
  <si>
    <t xml:space="preserve">Propeller (pairs)</t>
  </si>
  <si>
    <t xml:space="preserve">Servos</t>
  </si>
  <si>
    <t xml:space="preserve">Control horns (packs)</t>
  </si>
  <si>
    <t xml:space="preserve">Servo extension leads</t>
  </si>
  <si>
    <t xml:space="preserve">XT60 pairs</t>
  </si>
  <si>
    <t xml:space="preserve">Foam board sheets</t>
  </si>
  <si>
    <t xml:space="preserve">Total build cost</t>
  </si>
  <si>
    <t xml:space="preserve">Difference (Performance − Budget)</t>
  </si>
  <si>
    <t xml:space="preserve">Chosen for Techfest 2026</t>
  </si>
  <si>
    <t xml:space="preserve">Budget build with the radio upgraded to the FlySky FS-i6 (on-radio failsafe setup).</t>
  </si>
  <si>
    <t xml:space="preserve">Budget total</t>
  </si>
  <si>
    <t xml:space="preserve">− CT6B radio + FS-i6 radio</t>
  </si>
  <si>
    <t xml:space="preserve">Chosen build total</t>
  </si>
  <si>
    <t xml:space="preserve">Upgrade order if more budget becomes available</t>
  </si>
  <si>
    <t xml:space="preserve">1. Second 3S 2200 mAh battery</t>
  </si>
  <si>
    <t xml:space="preserve">More flights per test session</t>
  </si>
  <si>
    <t xml:space="preserve">2. IMAX B6AC charger instead of B3</t>
  </si>
  <si>
    <t xml:space="preserve">Charges at 1C (≈ 1 h) instead of 0.8 A (≈ 3 h)</t>
  </si>
  <si>
    <t xml:space="preserve">3. MG90S servos instead of SG90</t>
  </si>
  <si>
    <t xml:space="preserve">Metal gears survive crashes</t>
  </si>
  <si>
    <t xml:space="preserve">Extra cost of all three upgrades</t>
  </si>
  <si>
    <t xml:space="preserve">P4 — Propulsion, Electrical and Mass Checks (chosen build)</t>
  </si>
  <si>
    <t xml:space="preserve">Blue = input (source in column D). Black = formula. Pass/fail cells compare a result with its limit.</t>
  </si>
  <si>
    <t xml:space="preserve">Quantity</t>
  </si>
  <si>
    <t xml:space="preserve">Value</t>
  </si>
  <si>
    <t xml:space="preserve">Unit</t>
  </si>
  <si>
    <t xml:space="preserve">Source / formula</t>
  </si>
  <si>
    <t xml:space="preserve">Battery nominal voltage</t>
  </si>
  <si>
    <t xml:space="preserve">V</t>
  </si>
  <si>
    <t xml:space="preserve">3S × 3.7 V</t>
  </si>
  <si>
    <t xml:space="preserve">Motor KV</t>
  </si>
  <si>
    <t xml:space="preserve">RPM/V</t>
  </si>
  <si>
    <t xml:space="preserve">A2212 1000 KV listing</t>
  </si>
  <si>
    <t xml:space="preserve">Propeller pitch</t>
  </si>
  <si>
    <t xml:space="preserve">in</t>
  </si>
  <si>
    <t xml:space="preserve">1045 propeller</t>
  </si>
  <si>
    <t xml:space="preserve">Static thrust at full throttle</t>
  </si>
  <si>
    <t xml:space="preserve">g</t>
  </si>
  <si>
    <t xml:space="preserve">Thingbits A2212 1000 KV table: 1047 prop, 11.1 V (1045 gives slightly less)</t>
  </si>
  <si>
    <t xml:space="preserve">Current at full throttle</t>
  </si>
  <si>
    <t xml:space="preserve">A</t>
  </si>
  <si>
    <t xml:space="preserve">Same table</t>
  </si>
  <si>
    <t xml:space="preserve">Electrical power at full throttle</t>
  </si>
  <si>
    <t xml:space="preserve">W</t>
  </si>
  <si>
    <t xml:space="preserve">All-up mass</t>
  </si>
  <si>
    <t xml:space="preserve">Linked from the Weight Build-up tab</t>
  </si>
  <si>
    <t xml:space="preserve">Wing area</t>
  </si>
  <si>
    <t xml:space="preserve">m²</t>
  </si>
  <si>
    <t xml:space="preserve">Design value (P3 sizing)</t>
  </si>
  <si>
    <t xml:space="preserve">Maximum lift coefficient C_L,max</t>
  </si>
  <si>
    <t xml:space="preserve">Assumed for a flat-bottom trainer wing</t>
  </si>
  <si>
    <t xml:space="preserve">Air density</t>
  </si>
  <si>
    <t xml:space="preserve">kg/m³</t>
  </si>
  <si>
    <t xml:space="preserve">Sea level (Mumbai)</t>
  </si>
  <si>
    <t xml:space="preserve">ESC continuous rating</t>
  </si>
  <si>
    <t xml:space="preserve">SimonK 30 A listing</t>
  </si>
  <si>
    <t xml:space="preserve">Required ESC margin</t>
  </si>
  <si>
    <t xml:space="preserve">×</t>
  </si>
  <si>
    <t xml:space="preserve">Design rule: rating ≥ 1.2 × max current</t>
  </si>
  <si>
    <t xml:space="preserve">Battery capacity</t>
  </si>
  <si>
    <t xml:space="preserve">Ah</t>
  </si>
  <si>
    <t xml:space="preserve">Orange 3S 2200 mAh</t>
  </si>
  <si>
    <t xml:space="preserve">Battery C-rating</t>
  </si>
  <si>
    <t xml:space="preserve">C</t>
  </si>
  <si>
    <t xml:space="preserve">Orange listing</t>
  </si>
  <si>
    <t xml:space="preserve">Usable battery fraction</t>
  </si>
  <si>
    <t xml:space="preserve">Assumed: land at 20% charge left to protect the LiPo</t>
  </si>
  <si>
    <t xml:space="preserve">BEC rating</t>
  </si>
  <si>
    <t xml:space="preserve">SimonK 30 A listing (5 V / 3 A)</t>
  </si>
  <si>
    <t xml:space="preserve">Number of servos</t>
  </si>
  <si>
    <t xml:space="preserve">2 ailerons, elevator, rudder</t>
  </si>
  <si>
    <t xml:space="preserve">Current per servo while moving</t>
  </si>
  <si>
    <t xml:space="preserve">Typical for 9 g servos — check datasheet</t>
  </si>
  <si>
    <t xml:space="preserve">Receiver current</t>
  </si>
  <si>
    <t xml:space="preserve">Typical — check datasheet</t>
  </si>
  <si>
    <t xml:space="preserve">Minimum thrust-to-weight</t>
  </si>
  <si>
    <t xml:space="preserve">Trainer guideline</t>
  </si>
  <si>
    <t xml:space="preserve">Results</t>
  </si>
  <si>
    <t xml:space="preserve">Check</t>
  </si>
  <si>
    <t xml:space="preserve">Result</t>
  </si>
  <si>
    <t xml:space="preserve">Formula</t>
  </si>
  <si>
    <t xml:space="preserve">Limit</t>
  </si>
  <si>
    <t xml:space="preserve">Pass?</t>
  </si>
  <si>
    <t xml:space="preserve">No-load motor speed</t>
  </si>
  <si>
    <t xml:space="preserve">RPM</t>
  </si>
  <si>
    <t xml:space="preserve">RPM = KV × V</t>
  </si>
  <si>
    <t xml:space="preserve">No-load pitch speed</t>
  </si>
  <si>
    <t xml:space="preserve">m/s</t>
  </si>
  <si>
    <t xml:space="preserve">V_pitch = RPM × pitch × 0.0254 ÷ 60</t>
  </si>
  <si>
    <t xml:space="preserve">Stall speed</t>
  </si>
  <si>
    <t xml:space="preserve">V_stall = √(2W ÷ ρ S C_L,max)</t>
  </si>
  <si>
    <t xml:space="preserve">Pitch speed ÷ stall speed</t>
  </si>
  <si>
    <t xml:space="preserve">ratio</t>
  </si>
  <si>
    <t xml:space="preserve">≥ 2</t>
  </si>
  <si>
    <t xml:space="preserve">Thrust-to-weight</t>
  </si>
  <si>
    <t xml:space="preserve">T/W = thrust ÷ weight</t>
  </si>
  <si>
    <t xml:space="preserve">Power-to-weight</t>
  </si>
  <si>
    <t xml:space="preserve">W/kg</t>
  </si>
  <si>
    <t xml:space="preserve">P ÷ m</t>
  </si>
  <si>
    <t xml:space="preserve">ESC margin</t>
  </si>
  <si>
    <t xml:space="preserve">I_ESC ÷ I_max</t>
  </si>
  <si>
    <t xml:space="preserve">Battery maximum current</t>
  </si>
  <si>
    <t xml:space="preserve">I_max = C × capacity</t>
  </si>
  <si>
    <t xml:space="preserve">Battery energy</t>
  </si>
  <si>
    <t xml:space="preserve">Wh</t>
  </si>
  <si>
    <t xml:space="preserve">E = V × Ah</t>
  </si>
  <si>
    <t xml:space="preserve">≤ 100 Wh (airline)</t>
  </si>
  <si>
    <t xml:space="preserve">Flight time at full throttle (minimum)</t>
  </si>
  <si>
    <t xml:space="preserve">min</t>
  </si>
  <si>
    <t xml:space="preserve">t = Ah × usable ÷ I × 60</t>
  </si>
  <si>
    <t xml:space="preserve">BEC load</t>
  </si>
  <si>
    <t xml:space="preserve">n × I_servo + I_rx</t>
  </si>
  <si>
    <t xml:space="preserve">RC Aircraft Weight Build-up</t>
  </si>
  <si>
    <t xml:space="preserve">Bottom-up estimate of the all-up weight. Blue = input, black = formula, green = linked input.</t>
  </si>
  <si>
    <t xml:space="preserve">Inputs</t>
  </si>
  <si>
    <t xml:space="preserve">Payload (g)</t>
  </si>
  <si>
    <t xml:space="preserve">Assumed mission payload (not from the Techfest rulebook)</t>
  </si>
  <si>
    <t xml:space="preserve">Design all-up weight (g)</t>
  </si>
  <si>
    <t xml:space="preserve">Calculated all-up weight rounded up for build margin</t>
  </si>
  <si>
    <t xml:space="preserve">Spar outer diameter (mm)</t>
  </si>
  <si>
    <t xml:space="preserve">6 × 4 mm pultruded carbon tube (Robu listing)</t>
  </si>
  <si>
    <t xml:space="preserve">Spar inner diameter (mm)</t>
  </si>
  <si>
    <t xml:space="preserve">Robu listing</t>
  </si>
  <si>
    <t xml:space="preserve">Spar length (mm)</t>
  </si>
  <si>
    <t xml:space="preserve">Two 500 mm tubes</t>
  </si>
  <si>
    <t xml:space="preserve">Carbon fibre density (g/cm³)</t>
  </si>
  <si>
    <t xml:space="preserve">Typical for pultruded carbon fibre</t>
  </si>
  <si>
    <t xml:space="preserve">Foam board sheet weight (g per 20×30 in sheet)</t>
  </si>
  <si>
    <t xml:space="preserve">Estimate for paper-faced foam board; weigh one sheet to confirm</t>
  </si>
  <si>
    <t xml:space="preserve">Foam sheets used</t>
  </si>
  <si>
    <t xml:space="preserve">Wing ≈ 1.5 sheets + fuselage and tail ≈ 1 sheet</t>
  </si>
  <si>
    <t xml:space="preserve">Spar cross-section area (mm²)</t>
  </si>
  <si>
    <t xml:space="preserve">Spar mass (g)</t>
  </si>
  <si>
    <t xml:space="preserve">area × length ÷ 1000 × density</t>
  </si>
  <si>
    <t xml:space="preserve">Part</t>
  </si>
  <si>
    <t xml:space="preserve">Category</t>
  </si>
  <si>
    <t xml:space="preserve">Unit weight (g)</t>
  </si>
  <si>
    <t xml:space="preserve">Total weight (g)</t>
  </si>
  <si>
    <t xml:space="preserve">% of empty weight</t>
  </si>
  <si>
    <t xml:space="preserve">Confidence</t>
  </si>
  <si>
    <t xml:space="preserve">Source / notes</t>
  </si>
  <si>
    <t xml:space="preserve">3S 2200 mAh 40C LiPo battery</t>
  </si>
  <si>
    <t xml:space="preserve">Electronics &amp; battery</t>
  </si>
  <si>
    <t xml:space="preserve">Robu listing, 175 g</t>
  </si>
  <si>
    <t xml:space="preserve">SG90 9 g servo</t>
  </si>
  <si>
    <t xml:space="preserve">Probots listing, 9 g each</t>
  </si>
  <si>
    <t xml:space="preserve">A2212 1000 KV motor</t>
  </si>
  <si>
    <t xml:space="preserve">Typical</t>
  </si>
  <si>
    <t xml:space="preserve">Thingbits listing ≈ 52 g</t>
  </si>
  <si>
    <t xml:space="preserve">30 A ESC</t>
  </si>
  <si>
    <t xml:space="preserve">Typical spec</t>
  </si>
  <si>
    <t xml:space="preserve">FS-iA6B receiver</t>
  </si>
  <si>
    <t xml:space="preserve">Carbon fibre spar 6×4 mm</t>
  </si>
  <si>
    <t xml:space="preserve">Structure</t>
  </si>
  <si>
    <t xml:space="preserve">Calculated</t>
  </si>
  <si>
    <t xml:space="preserve">From spar inputs above</t>
  </si>
  <si>
    <t xml:space="preserve">Foam board (paper-faced, 5 mm)</t>
  </si>
  <si>
    <t xml:space="preserve">Avoid PVC sunboard — much heavier</t>
  </si>
  <si>
    <t xml:space="preserve">Hot glue</t>
  </si>
  <si>
    <t xml:space="preserve">Hardware &amp; assembly</t>
  </si>
  <si>
    <t xml:space="preserve">Landing gear (steel wire)</t>
  </si>
  <si>
    <t xml:space="preserve">Wires and XT60 connectors</t>
  </si>
  <si>
    <t xml:space="preserve">Control horns and pushrods</t>
  </si>
  <si>
    <t xml:space="preserve">Empty weight</t>
  </si>
  <si>
    <t xml:space="preserve">Payload</t>
  </si>
  <si>
    <t xml:space="preserve">All-up weight (calculated)</t>
  </si>
  <si>
    <t xml:space="preserve">Design weight used for sizing</t>
  </si>
  <si>
    <t xml:space="preserve">Margin for build errors (g)</t>
  </si>
  <si>
    <t xml:space="preserve">Margin (% of design weight)</t>
  </si>
  <si>
    <t xml:space="preserve">Summary by category</t>
  </si>
  <si>
    <t xml:space="preserve">Weight (g)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</si>
</sst>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#,##0"/>
    <numFmt numFmtId="167" formatCode="0.00"/>
    <numFmt numFmtId="168" formatCode="0.0"/>
    <numFmt numFmtId="169" formatCode="#,##0.0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1F4E79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7"/>
    <col collapsed="false" customWidth="true" hidden="false" outlineLevel="0" max="4" min="4" style="1" width="34"/>
    <col collapsed="false" customWidth="true" hidden="false" outlineLevel="0" max="5" min="5" style="1" width="4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48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6.2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n">
        <v>4999</v>
      </c>
      <c r="G5" s="5" t="s">
        <v>16</v>
      </c>
      <c r="H5" s="7" t="s">
        <v>17</v>
      </c>
      <c r="I5" s="5" t="s">
        <v>18</v>
      </c>
    </row>
    <row r="6" customFormat="false" ht="26.25" hidden="false" customHeight="true" outlineLevel="0" collapsed="false">
      <c r="A6" s="5" t="s">
        <v>19</v>
      </c>
      <c r="B6" s="5" t="s">
        <v>12</v>
      </c>
      <c r="C6" s="5" t="s">
        <v>20</v>
      </c>
      <c r="D6" s="5" t="s">
        <v>21</v>
      </c>
      <c r="E6" s="5" t="s">
        <v>22</v>
      </c>
      <c r="F6" s="6" t="n">
        <v>2413</v>
      </c>
      <c r="G6" s="5" t="s">
        <v>16</v>
      </c>
      <c r="H6" s="7" t="s">
        <v>23</v>
      </c>
      <c r="I6" s="5" t="s">
        <v>18</v>
      </c>
    </row>
    <row r="7" customFormat="false" ht="39" hidden="false" customHeight="true" outlineLevel="0" collapsed="false">
      <c r="A7" s="5" t="s">
        <v>24</v>
      </c>
      <c r="B7" s="5" t="s">
        <v>25</v>
      </c>
      <c r="C7" s="5" t="s">
        <v>13</v>
      </c>
      <c r="D7" s="5" t="s">
        <v>26</v>
      </c>
      <c r="E7" s="5" t="s">
        <v>27</v>
      </c>
      <c r="F7" s="6" t="n">
        <v>383</v>
      </c>
      <c r="G7" s="5" t="s">
        <v>16</v>
      </c>
      <c r="H7" s="7" t="s">
        <v>28</v>
      </c>
      <c r="I7" s="5" t="s">
        <v>18</v>
      </c>
    </row>
    <row r="8" customFormat="false" ht="26.25" hidden="false" customHeight="true" outlineLevel="0" collapsed="false">
      <c r="A8" s="5" t="s">
        <v>29</v>
      </c>
      <c r="B8" s="5" t="s">
        <v>25</v>
      </c>
      <c r="C8" s="5" t="s">
        <v>20</v>
      </c>
      <c r="D8" s="5" t="s">
        <v>30</v>
      </c>
      <c r="E8" s="5" t="s">
        <v>31</v>
      </c>
      <c r="F8" s="6" t="n">
        <v>1345</v>
      </c>
      <c r="G8" s="5" t="s">
        <v>16</v>
      </c>
      <c r="H8" s="7" t="s">
        <v>32</v>
      </c>
      <c r="I8" s="5" t="s">
        <v>18</v>
      </c>
    </row>
    <row r="9" customFormat="false" ht="18.75" hidden="false" customHeight="true" outlineLevel="0" collapsed="false">
      <c r="A9" s="5" t="s">
        <v>33</v>
      </c>
      <c r="B9" s="5" t="s">
        <v>34</v>
      </c>
      <c r="C9" s="5" t="s">
        <v>13</v>
      </c>
      <c r="D9" s="5" t="s">
        <v>35</v>
      </c>
      <c r="E9" s="5" t="s">
        <v>36</v>
      </c>
      <c r="F9" s="6" t="n">
        <v>499</v>
      </c>
      <c r="G9" s="5" t="s">
        <v>16</v>
      </c>
      <c r="H9" s="7" t="s">
        <v>37</v>
      </c>
      <c r="I9" s="5" t="s">
        <v>18</v>
      </c>
    </row>
    <row r="10" customFormat="false" ht="26.25" hidden="false" customHeight="true" outlineLevel="0" collapsed="false">
      <c r="A10" s="5" t="s">
        <v>38</v>
      </c>
      <c r="B10" s="5" t="s">
        <v>34</v>
      </c>
      <c r="C10" s="5" t="s">
        <v>20</v>
      </c>
      <c r="D10" s="5" t="s">
        <v>39</v>
      </c>
      <c r="E10" s="5" t="s">
        <v>40</v>
      </c>
      <c r="F10" s="6" t="n">
        <v>1038</v>
      </c>
      <c r="G10" s="5" t="s">
        <v>41</v>
      </c>
      <c r="H10" s="7" t="s">
        <v>42</v>
      </c>
      <c r="I10" s="5" t="s">
        <v>18</v>
      </c>
    </row>
    <row r="11" customFormat="false" ht="18.75" hidden="false" customHeight="true" outlineLevel="0" collapsed="false">
      <c r="A11" s="5" t="s">
        <v>43</v>
      </c>
      <c r="B11" s="5" t="s">
        <v>44</v>
      </c>
      <c r="C11" s="5" t="s">
        <v>13</v>
      </c>
      <c r="D11" s="5" t="s">
        <v>45</v>
      </c>
      <c r="E11" s="5" t="s">
        <v>46</v>
      </c>
      <c r="F11" s="6" t="n">
        <v>105</v>
      </c>
      <c r="G11" s="5" t="s">
        <v>16</v>
      </c>
      <c r="H11" s="7" t="s">
        <v>47</v>
      </c>
      <c r="I11" s="5" t="s">
        <v>18</v>
      </c>
    </row>
    <row r="12" customFormat="false" ht="18.75" hidden="false" customHeight="true" outlineLevel="0" collapsed="false">
      <c r="A12" s="5" t="s">
        <v>48</v>
      </c>
      <c r="B12" s="5" t="s">
        <v>44</v>
      </c>
      <c r="C12" s="5" t="s">
        <v>20</v>
      </c>
      <c r="D12" s="5" t="s">
        <v>49</v>
      </c>
      <c r="E12" s="5" t="s">
        <v>50</v>
      </c>
      <c r="F12" s="6" t="n">
        <v>265</v>
      </c>
      <c r="G12" s="5" t="s">
        <v>16</v>
      </c>
      <c r="H12" s="7" t="s">
        <v>51</v>
      </c>
      <c r="I12" s="5" t="s">
        <v>18</v>
      </c>
    </row>
    <row r="13" customFormat="false" ht="15" hidden="false" customHeight="true" outlineLevel="0" collapsed="false">
      <c r="A13" s="5" t="s">
        <v>52</v>
      </c>
      <c r="B13" s="5" t="s">
        <v>53</v>
      </c>
      <c r="C13" s="5" t="s">
        <v>13</v>
      </c>
      <c r="D13" s="5" t="s">
        <v>54</v>
      </c>
      <c r="E13" s="5" t="s">
        <v>55</v>
      </c>
      <c r="F13" s="6" t="n">
        <v>1444</v>
      </c>
      <c r="G13" s="5" t="s">
        <v>56</v>
      </c>
      <c r="H13" s="7" t="s">
        <v>57</v>
      </c>
      <c r="I13" s="5" t="s">
        <v>18</v>
      </c>
    </row>
    <row r="14" customFormat="false" ht="15" hidden="false" customHeight="true" outlineLevel="0" collapsed="false">
      <c r="A14" s="5" t="s">
        <v>58</v>
      </c>
      <c r="B14" s="5" t="s">
        <v>53</v>
      </c>
      <c r="C14" s="5" t="s">
        <v>20</v>
      </c>
      <c r="D14" s="5" t="s">
        <v>59</v>
      </c>
      <c r="E14" s="5" t="s">
        <v>60</v>
      </c>
      <c r="F14" s="6" t="n">
        <v>1599</v>
      </c>
      <c r="G14" s="5" t="s">
        <v>16</v>
      </c>
      <c r="H14" s="7" t="s">
        <v>61</v>
      </c>
      <c r="I14" s="5" t="s">
        <v>18</v>
      </c>
    </row>
    <row r="15" customFormat="false" ht="18.75" hidden="false" customHeight="true" outlineLevel="0" collapsed="false">
      <c r="A15" s="5" t="s">
        <v>62</v>
      </c>
      <c r="B15" s="5" t="s">
        <v>63</v>
      </c>
      <c r="C15" s="5" t="s">
        <v>13</v>
      </c>
      <c r="D15" s="5" t="s">
        <v>64</v>
      </c>
      <c r="E15" s="5" t="s">
        <v>65</v>
      </c>
      <c r="F15" s="6" t="n">
        <v>119</v>
      </c>
      <c r="G15" s="5" t="s">
        <v>16</v>
      </c>
      <c r="H15" s="7" t="s">
        <v>66</v>
      </c>
      <c r="I15" s="5" t="s">
        <v>18</v>
      </c>
    </row>
    <row r="16" customFormat="false" ht="18.75" hidden="false" customHeight="true" outlineLevel="0" collapsed="false">
      <c r="A16" s="5" t="s">
        <v>67</v>
      </c>
      <c r="B16" s="5" t="s">
        <v>63</v>
      </c>
      <c r="C16" s="5" t="s">
        <v>20</v>
      </c>
      <c r="D16" s="5" t="s">
        <v>68</v>
      </c>
      <c r="E16" s="5" t="s">
        <v>69</v>
      </c>
      <c r="F16" s="6" t="n">
        <v>179</v>
      </c>
      <c r="G16" s="5" t="s">
        <v>56</v>
      </c>
      <c r="H16" s="7" t="s">
        <v>70</v>
      </c>
      <c r="I16" s="5" t="s">
        <v>18</v>
      </c>
    </row>
    <row r="17" customFormat="false" ht="15" hidden="false" customHeight="true" outlineLevel="0" collapsed="false">
      <c r="A17" s="5" t="s">
        <v>71</v>
      </c>
      <c r="B17" s="5" t="s">
        <v>72</v>
      </c>
      <c r="C17" s="5" t="s">
        <v>13</v>
      </c>
      <c r="D17" s="5" t="s">
        <v>73</v>
      </c>
      <c r="E17" s="5" t="s">
        <v>74</v>
      </c>
      <c r="F17" s="6" t="n">
        <v>3499</v>
      </c>
      <c r="G17" s="5" t="s">
        <v>16</v>
      </c>
      <c r="H17" s="7" t="s">
        <v>75</v>
      </c>
      <c r="I17" s="5" t="s">
        <v>18</v>
      </c>
    </row>
    <row r="18" customFormat="false" ht="18.75" hidden="false" customHeight="true" outlineLevel="0" collapsed="false">
      <c r="A18" s="5" t="s">
        <v>76</v>
      </c>
      <c r="B18" s="5" t="s">
        <v>72</v>
      </c>
      <c r="C18" s="5" t="s">
        <v>20</v>
      </c>
      <c r="D18" s="5" t="s">
        <v>77</v>
      </c>
      <c r="E18" s="5" t="s">
        <v>78</v>
      </c>
      <c r="F18" s="6" t="n">
        <v>499</v>
      </c>
      <c r="G18" s="5" t="s">
        <v>16</v>
      </c>
      <c r="H18" s="7" t="s">
        <v>79</v>
      </c>
      <c r="I18" s="5" t="s">
        <v>18</v>
      </c>
    </row>
    <row r="19" customFormat="false" ht="26.25" hidden="false" customHeight="true" outlineLevel="0" collapsed="false">
      <c r="A19" s="5" t="s">
        <v>80</v>
      </c>
      <c r="B19" s="5" t="s">
        <v>81</v>
      </c>
      <c r="C19" s="5" t="s">
        <v>13</v>
      </c>
      <c r="D19" s="5" t="s">
        <v>82</v>
      </c>
      <c r="E19" s="5" t="s">
        <v>83</v>
      </c>
      <c r="F19" s="6" t="n">
        <v>146</v>
      </c>
      <c r="G19" s="5" t="s">
        <v>41</v>
      </c>
      <c r="H19" s="7" t="s">
        <v>84</v>
      </c>
      <c r="I19" s="5" t="s">
        <v>18</v>
      </c>
    </row>
    <row r="20" customFormat="false" ht="26.25" hidden="false" customHeight="true" outlineLevel="0" collapsed="false">
      <c r="A20" s="5" t="s">
        <v>85</v>
      </c>
      <c r="B20" s="5" t="s">
        <v>81</v>
      </c>
      <c r="C20" s="5" t="s">
        <v>20</v>
      </c>
      <c r="D20" s="5" t="s">
        <v>86</v>
      </c>
      <c r="E20" s="5" t="s">
        <v>87</v>
      </c>
      <c r="F20" s="6" t="n">
        <v>249</v>
      </c>
      <c r="G20" s="5" t="s">
        <v>16</v>
      </c>
      <c r="H20" s="7" t="s">
        <v>88</v>
      </c>
      <c r="I20" s="5" t="s">
        <v>18</v>
      </c>
    </row>
    <row r="21" customFormat="false" ht="26.25" hidden="false" customHeight="true" outlineLevel="0" collapsed="false">
      <c r="A21" s="5" t="s">
        <v>89</v>
      </c>
      <c r="B21" s="5" t="s">
        <v>90</v>
      </c>
      <c r="C21" s="5" t="s">
        <v>13</v>
      </c>
      <c r="D21" s="5" t="s">
        <v>91</v>
      </c>
      <c r="E21" s="5" t="s">
        <v>92</v>
      </c>
      <c r="F21" s="6" t="n">
        <v>299</v>
      </c>
      <c r="G21" s="5" t="s">
        <v>93</v>
      </c>
      <c r="H21" s="7" t="s">
        <v>94</v>
      </c>
      <c r="I21" s="5" t="s">
        <v>18</v>
      </c>
    </row>
    <row r="22" customFormat="false" ht="26.25" hidden="false" customHeight="true" outlineLevel="0" collapsed="false">
      <c r="A22" s="5" t="s">
        <v>95</v>
      </c>
      <c r="B22" s="5" t="s">
        <v>96</v>
      </c>
      <c r="C22" s="5" t="s">
        <v>13</v>
      </c>
      <c r="D22" s="5" t="s">
        <v>97</v>
      </c>
      <c r="E22" s="5" t="s">
        <v>98</v>
      </c>
      <c r="F22" s="6" t="n">
        <v>49</v>
      </c>
      <c r="G22" s="5" t="s">
        <v>56</v>
      </c>
      <c r="H22" s="7" t="s">
        <v>99</v>
      </c>
      <c r="I22" s="5" t="s">
        <v>18</v>
      </c>
    </row>
    <row r="23" customFormat="false" ht="26.25" hidden="false" customHeight="true" outlineLevel="0" collapsed="false">
      <c r="A23" s="5" t="s">
        <v>100</v>
      </c>
      <c r="B23" s="5" t="s">
        <v>101</v>
      </c>
      <c r="C23" s="5" t="s">
        <v>13</v>
      </c>
      <c r="D23" s="5" t="s">
        <v>102</v>
      </c>
      <c r="E23" s="5" t="s">
        <v>103</v>
      </c>
      <c r="F23" s="6" t="n">
        <v>95</v>
      </c>
      <c r="G23" s="5" t="s">
        <v>16</v>
      </c>
      <c r="H23" s="7" t="s">
        <v>104</v>
      </c>
      <c r="I23" s="5" t="s">
        <v>18</v>
      </c>
    </row>
    <row r="24" customFormat="false" ht="18.75" hidden="false" customHeight="true" outlineLevel="0" collapsed="false">
      <c r="A24" s="5" t="s">
        <v>105</v>
      </c>
      <c r="B24" s="5" t="s">
        <v>106</v>
      </c>
      <c r="C24" s="5" t="s">
        <v>13</v>
      </c>
      <c r="D24" s="5" t="s">
        <v>107</v>
      </c>
      <c r="E24" s="5" t="s">
        <v>108</v>
      </c>
      <c r="F24" s="6" t="n">
        <v>39</v>
      </c>
      <c r="G24" s="5" t="s">
        <v>93</v>
      </c>
      <c r="H24" s="7" t="s">
        <v>109</v>
      </c>
      <c r="I24" s="5" t="s">
        <v>18</v>
      </c>
    </row>
    <row r="25" customFormat="false" ht="26.25" hidden="false" customHeight="true" outlineLevel="0" collapsed="false">
      <c r="A25" s="5" t="s">
        <v>110</v>
      </c>
      <c r="B25" s="5" t="s">
        <v>111</v>
      </c>
      <c r="C25" s="5" t="s">
        <v>13</v>
      </c>
      <c r="D25" s="5" t="s">
        <v>112</v>
      </c>
      <c r="E25" s="5" t="s">
        <v>113</v>
      </c>
      <c r="F25" s="6" t="n">
        <v>659</v>
      </c>
      <c r="G25" s="5" t="s">
        <v>56</v>
      </c>
      <c r="H25" s="7" t="s">
        <v>114</v>
      </c>
      <c r="I25" s="5" t="s">
        <v>18</v>
      </c>
    </row>
    <row r="26" customFormat="false" ht="26.25" hidden="false" customHeight="true" outlineLevel="0" collapsed="false">
      <c r="A26" s="5" t="s">
        <v>115</v>
      </c>
      <c r="B26" s="5" t="s">
        <v>116</v>
      </c>
      <c r="C26" s="5" t="s">
        <v>13</v>
      </c>
      <c r="D26" s="5" t="s">
        <v>117</v>
      </c>
      <c r="E26" s="5" t="s">
        <v>118</v>
      </c>
      <c r="F26" s="6" t="n">
        <v>120</v>
      </c>
      <c r="G26" s="5" t="s">
        <v>119</v>
      </c>
      <c r="H26" s="7" t="s">
        <v>93</v>
      </c>
      <c r="I26" s="8" t="s">
        <v>120</v>
      </c>
    </row>
    <row r="27" customFormat="false" ht="15" hidden="false" customHeight="true" outlineLevel="0" collapsed="false">
      <c r="A27" s="5" t="s">
        <v>121</v>
      </c>
      <c r="B27" s="5" t="s">
        <v>122</v>
      </c>
      <c r="C27" s="5" t="s">
        <v>13</v>
      </c>
      <c r="D27" s="5" t="s">
        <v>123</v>
      </c>
      <c r="E27" s="5" t="s">
        <v>124</v>
      </c>
      <c r="F27" s="6" t="n">
        <v>300</v>
      </c>
      <c r="G27" s="5" t="s">
        <v>93</v>
      </c>
      <c r="H27" s="7" t="s">
        <v>93</v>
      </c>
      <c r="I27" s="8" t="s">
        <v>120</v>
      </c>
    </row>
    <row r="28" customFormat="false" ht="15" hidden="false" customHeight="true" outlineLevel="0" collapsed="false">
      <c r="A28" s="5" t="s">
        <v>125</v>
      </c>
      <c r="B28" s="5" t="s">
        <v>126</v>
      </c>
      <c r="C28" s="5" t="s">
        <v>13</v>
      </c>
      <c r="D28" s="5" t="s">
        <v>127</v>
      </c>
      <c r="E28" s="5" t="s">
        <v>128</v>
      </c>
      <c r="F28" s="6" t="n">
        <v>100</v>
      </c>
      <c r="G28" s="5" t="s">
        <v>119</v>
      </c>
      <c r="H28" s="7" t="s">
        <v>93</v>
      </c>
      <c r="I28" s="8" t="s">
        <v>120</v>
      </c>
    </row>
    <row r="29" customFormat="false" ht="15" hidden="false" customHeight="true" outlineLevel="0" collapsed="false">
      <c r="A29" s="5" t="s">
        <v>129</v>
      </c>
      <c r="B29" s="5" t="s">
        <v>130</v>
      </c>
      <c r="C29" s="5" t="s">
        <v>13</v>
      </c>
      <c r="D29" s="5" t="s">
        <v>131</v>
      </c>
      <c r="E29" s="5" t="s">
        <v>132</v>
      </c>
      <c r="F29" s="6" t="n">
        <v>350</v>
      </c>
      <c r="G29" s="5" t="s">
        <v>119</v>
      </c>
      <c r="H29" s="7" t="s">
        <v>93</v>
      </c>
      <c r="I29" s="8" t="s">
        <v>120</v>
      </c>
    </row>
    <row r="30" customFormat="false" ht="15" hidden="false" customHeight="true" outlineLevel="0" collapsed="false">
      <c r="A30" s="5" t="s">
        <v>133</v>
      </c>
      <c r="B30" s="5" t="s">
        <v>134</v>
      </c>
      <c r="C30" s="5" t="s">
        <v>13</v>
      </c>
      <c r="D30" s="5" t="s">
        <v>135</v>
      </c>
      <c r="E30" s="5" t="s">
        <v>136</v>
      </c>
      <c r="F30" s="6" t="n">
        <v>100</v>
      </c>
      <c r="G30" s="5" t="s">
        <v>119</v>
      </c>
      <c r="H30" s="7" t="s">
        <v>93</v>
      </c>
      <c r="I30" s="8" t="s">
        <v>120</v>
      </c>
    </row>
    <row r="31" customFormat="false" ht="15" hidden="false" customHeight="true" outlineLevel="0" collapsed="false">
      <c r="A31" s="5" t="s">
        <v>137</v>
      </c>
      <c r="B31" s="5" t="s">
        <v>138</v>
      </c>
      <c r="C31" s="5" t="s">
        <v>13</v>
      </c>
      <c r="D31" s="5" t="s">
        <v>139</v>
      </c>
      <c r="E31" s="5"/>
      <c r="F31" s="6" t="n">
        <v>150</v>
      </c>
      <c r="G31" s="5" t="s">
        <v>93</v>
      </c>
      <c r="H31" s="7" t="s">
        <v>93</v>
      </c>
      <c r="I31" s="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34"/>
    <col collapsed="false" customWidth="true" hidden="false" outlineLevel="0" max="7" min="7" style="1" width="6"/>
    <col collapsed="false" customWidth="true" hidden="false" outlineLevel="0" max="8" min="8" style="1" width="11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2" t="s">
        <v>140</v>
      </c>
    </row>
    <row r="2" customFormat="false" ht="15" hidden="false" customHeight="true" outlineLevel="0" collapsed="false">
      <c r="A2" s="3" t="s">
        <v>141</v>
      </c>
    </row>
    <row r="4" customFormat="false" ht="15" hidden="false" customHeight="true" outlineLevel="0" collapsed="false">
      <c r="A4" s="9" t="s">
        <v>3</v>
      </c>
      <c r="B4" s="9" t="s">
        <v>142</v>
      </c>
      <c r="C4" s="9" t="s">
        <v>143</v>
      </c>
      <c r="D4" s="9" t="s">
        <v>144</v>
      </c>
      <c r="E4" s="9" t="s">
        <v>145</v>
      </c>
      <c r="F4" s="9" t="s">
        <v>146</v>
      </c>
      <c r="G4" s="9" t="s">
        <v>143</v>
      </c>
      <c r="H4" s="9" t="s">
        <v>144</v>
      </c>
      <c r="I4" s="9" t="s">
        <v>145</v>
      </c>
    </row>
    <row r="5" customFormat="false" ht="15" hidden="false" customHeight="true" outlineLevel="0" collapsed="false">
      <c r="A5" s="5" t="s">
        <v>12</v>
      </c>
      <c r="B5" s="5" t="s">
        <v>21</v>
      </c>
      <c r="C5" s="10" t="n">
        <v>1</v>
      </c>
      <c r="D5" s="11" t="n">
        <f aca="false">'Component Options'!$F$6</f>
        <v>2413</v>
      </c>
      <c r="E5" s="12" t="n">
        <f aca="false">C5*D5</f>
        <v>2413</v>
      </c>
      <c r="F5" s="5" t="s">
        <v>14</v>
      </c>
      <c r="G5" s="10" t="n">
        <v>1</v>
      </c>
      <c r="H5" s="11" t="n">
        <f aca="false">'Component Options'!$F$5</f>
        <v>4999</v>
      </c>
      <c r="I5" s="12" t="n">
        <f aca="false">G5*H5</f>
        <v>4999</v>
      </c>
    </row>
    <row r="6" customFormat="false" ht="15" hidden="false" customHeight="true" outlineLevel="0" collapsed="false">
      <c r="A6" s="5" t="s">
        <v>25</v>
      </c>
      <c r="B6" s="5" t="s">
        <v>26</v>
      </c>
      <c r="C6" s="10" t="n">
        <v>1</v>
      </c>
      <c r="D6" s="11" t="n">
        <f aca="false">'Component Options'!$F$7</f>
        <v>383</v>
      </c>
      <c r="E6" s="12" t="n">
        <f aca="false">C6*D6</f>
        <v>383</v>
      </c>
      <c r="F6" s="5" t="s">
        <v>30</v>
      </c>
      <c r="G6" s="10" t="n">
        <v>1</v>
      </c>
      <c r="H6" s="11" t="n">
        <f aca="false">'Component Options'!$F$8</f>
        <v>1345</v>
      </c>
      <c r="I6" s="12" t="n">
        <f aca="false">G6*H6</f>
        <v>1345</v>
      </c>
    </row>
    <row r="7" customFormat="false" ht="15" hidden="false" customHeight="true" outlineLevel="0" collapsed="false">
      <c r="A7" s="5" t="s">
        <v>34</v>
      </c>
      <c r="B7" s="5" t="s">
        <v>35</v>
      </c>
      <c r="C7" s="10" t="n">
        <v>1</v>
      </c>
      <c r="D7" s="11" t="n">
        <f aca="false">'Component Options'!$F$9</f>
        <v>499</v>
      </c>
      <c r="E7" s="12" t="n">
        <f aca="false">C7*D7</f>
        <v>499</v>
      </c>
      <c r="F7" s="5" t="s">
        <v>39</v>
      </c>
      <c r="G7" s="10" t="n">
        <v>1</v>
      </c>
      <c r="H7" s="11" t="n">
        <f aca="false">'Component Options'!$F$10</f>
        <v>1038</v>
      </c>
      <c r="I7" s="12" t="n">
        <f aca="false">G7*H7</f>
        <v>1038</v>
      </c>
    </row>
    <row r="8" customFormat="false" ht="15" hidden="false" customHeight="true" outlineLevel="0" collapsed="false">
      <c r="A8" s="5" t="s">
        <v>147</v>
      </c>
      <c r="B8" s="5" t="s">
        <v>45</v>
      </c>
      <c r="C8" s="10" t="n">
        <v>1</v>
      </c>
      <c r="D8" s="11" t="n">
        <f aca="false">'Component Options'!$F$11</f>
        <v>105</v>
      </c>
      <c r="E8" s="12" t="n">
        <f aca="false">C8*D8</f>
        <v>105</v>
      </c>
      <c r="F8" s="5" t="s">
        <v>49</v>
      </c>
      <c r="G8" s="10" t="n">
        <v>1</v>
      </c>
      <c r="H8" s="11" t="n">
        <f aca="false">'Component Options'!$F$12</f>
        <v>265</v>
      </c>
      <c r="I8" s="12" t="n">
        <f aca="false">G8*H8</f>
        <v>265</v>
      </c>
    </row>
    <row r="9" customFormat="false" ht="15" hidden="false" customHeight="true" outlineLevel="0" collapsed="false">
      <c r="A9" s="5" t="s">
        <v>53</v>
      </c>
      <c r="B9" s="5" t="s">
        <v>54</v>
      </c>
      <c r="C9" s="10" t="n">
        <v>1</v>
      </c>
      <c r="D9" s="11" t="n">
        <f aca="false">'Component Options'!$F$13</f>
        <v>1444</v>
      </c>
      <c r="E9" s="12" t="n">
        <f aca="false">C9*D9</f>
        <v>1444</v>
      </c>
      <c r="F9" s="5" t="s">
        <v>54</v>
      </c>
      <c r="G9" s="10" t="n">
        <v>2</v>
      </c>
      <c r="H9" s="11" t="n">
        <f aca="false">'Component Options'!$F$13</f>
        <v>1444</v>
      </c>
      <c r="I9" s="12" t="n">
        <f aca="false">G9*H9</f>
        <v>2888</v>
      </c>
    </row>
    <row r="10" customFormat="false" ht="15" hidden="false" customHeight="true" outlineLevel="0" collapsed="false">
      <c r="A10" s="5" t="s">
        <v>148</v>
      </c>
      <c r="B10" s="5" t="s">
        <v>64</v>
      </c>
      <c r="C10" s="10" t="n">
        <v>4</v>
      </c>
      <c r="D10" s="11" t="n">
        <f aca="false">'Component Options'!$F$15</f>
        <v>119</v>
      </c>
      <c r="E10" s="12" t="n">
        <f aca="false">C10*D10</f>
        <v>476</v>
      </c>
      <c r="F10" s="5" t="s">
        <v>68</v>
      </c>
      <c r="G10" s="10" t="n">
        <v>4</v>
      </c>
      <c r="H10" s="11" t="n">
        <f aca="false">'Component Options'!$F$16</f>
        <v>179</v>
      </c>
      <c r="I10" s="12" t="n">
        <f aca="false">G10*H10</f>
        <v>716</v>
      </c>
    </row>
    <row r="11" customFormat="false" ht="15" hidden="false" customHeight="true" outlineLevel="0" collapsed="false">
      <c r="A11" s="5" t="s">
        <v>72</v>
      </c>
      <c r="B11" s="5" t="s">
        <v>77</v>
      </c>
      <c r="C11" s="10" t="n">
        <v>1</v>
      </c>
      <c r="D11" s="11" t="n">
        <f aca="false">'Component Options'!$F$18</f>
        <v>499</v>
      </c>
      <c r="E11" s="12" t="n">
        <f aca="false">C11*D11</f>
        <v>499</v>
      </c>
      <c r="F11" s="5" t="s">
        <v>73</v>
      </c>
      <c r="G11" s="10" t="n">
        <v>1</v>
      </c>
      <c r="H11" s="11" t="n">
        <f aca="false">'Component Options'!$F$17</f>
        <v>3499</v>
      </c>
      <c r="I11" s="12" t="n">
        <f aca="false">G11*H11</f>
        <v>3499</v>
      </c>
    </row>
    <row r="12" customFormat="false" ht="26.25" hidden="false" customHeight="true" outlineLevel="0" collapsed="false">
      <c r="A12" s="5" t="s">
        <v>81</v>
      </c>
      <c r="B12" s="5" t="s">
        <v>82</v>
      </c>
      <c r="C12" s="10" t="n">
        <v>2</v>
      </c>
      <c r="D12" s="11" t="n">
        <f aca="false">'Component Options'!$F$19</f>
        <v>146</v>
      </c>
      <c r="E12" s="12" t="n">
        <f aca="false">C12*D12</f>
        <v>292</v>
      </c>
      <c r="F12" s="5" t="s">
        <v>86</v>
      </c>
      <c r="G12" s="10" t="n">
        <v>4</v>
      </c>
      <c r="H12" s="11" t="n">
        <f aca="false">'Component Options'!$F$20</f>
        <v>249</v>
      </c>
      <c r="I12" s="12" t="n">
        <f aca="false">G12*H12</f>
        <v>996</v>
      </c>
    </row>
    <row r="13" customFormat="false" ht="26.25" hidden="false" customHeight="true" outlineLevel="0" collapsed="false">
      <c r="A13" s="5" t="s">
        <v>90</v>
      </c>
      <c r="B13" s="5" t="s">
        <v>91</v>
      </c>
      <c r="C13" s="10" t="n">
        <v>1</v>
      </c>
      <c r="D13" s="11" t="n">
        <f aca="false">'Component Options'!$F$21</f>
        <v>299</v>
      </c>
      <c r="E13" s="12" t="n">
        <f aca="false">C13*D13</f>
        <v>299</v>
      </c>
      <c r="F13" s="5" t="s">
        <v>91</v>
      </c>
      <c r="G13" s="10" t="n">
        <v>1</v>
      </c>
      <c r="H13" s="11" t="n">
        <f aca="false">'Component Options'!$F$21</f>
        <v>299</v>
      </c>
      <c r="I13" s="12" t="n">
        <f aca="false">G13*H13</f>
        <v>299</v>
      </c>
    </row>
    <row r="14" customFormat="false" ht="26.25" hidden="false" customHeight="true" outlineLevel="0" collapsed="false">
      <c r="A14" s="5" t="s">
        <v>149</v>
      </c>
      <c r="B14" s="5" t="s">
        <v>97</v>
      </c>
      <c r="C14" s="10" t="n">
        <v>2</v>
      </c>
      <c r="D14" s="11" t="n">
        <f aca="false">'Component Options'!$F$22</f>
        <v>49</v>
      </c>
      <c r="E14" s="12" t="n">
        <f aca="false">C14*D14</f>
        <v>98</v>
      </c>
      <c r="F14" s="5" t="s">
        <v>97</v>
      </c>
      <c r="G14" s="10" t="n">
        <v>2</v>
      </c>
      <c r="H14" s="11" t="n">
        <f aca="false">'Component Options'!$F$22</f>
        <v>49</v>
      </c>
      <c r="I14" s="12" t="n">
        <f aca="false">G14*H14</f>
        <v>98</v>
      </c>
    </row>
    <row r="15" customFormat="false" ht="15" hidden="false" customHeight="true" outlineLevel="0" collapsed="false">
      <c r="A15" s="5" t="s">
        <v>150</v>
      </c>
      <c r="B15" s="5" t="s">
        <v>102</v>
      </c>
      <c r="C15" s="10" t="n">
        <v>2</v>
      </c>
      <c r="D15" s="11" t="n">
        <f aca="false">'Component Options'!$F$23</f>
        <v>95</v>
      </c>
      <c r="E15" s="12" t="n">
        <f aca="false">C15*D15</f>
        <v>190</v>
      </c>
      <c r="F15" s="5" t="s">
        <v>102</v>
      </c>
      <c r="G15" s="10" t="n">
        <v>2</v>
      </c>
      <c r="H15" s="11" t="n">
        <f aca="false">'Component Options'!$F$23</f>
        <v>95</v>
      </c>
      <c r="I15" s="12" t="n">
        <f aca="false">G15*H15</f>
        <v>190</v>
      </c>
    </row>
    <row r="16" customFormat="false" ht="15" hidden="false" customHeight="true" outlineLevel="0" collapsed="false">
      <c r="A16" s="5" t="s">
        <v>151</v>
      </c>
      <c r="B16" s="5" t="s">
        <v>107</v>
      </c>
      <c r="C16" s="10" t="n">
        <v>2</v>
      </c>
      <c r="D16" s="11" t="n">
        <f aca="false">'Component Options'!$F$24</f>
        <v>39</v>
      </c>
      <c r="E16" s="12" t="n">
        <f aca="false">C16*D16</f>
        <v>78</v>
      </c>
      <c r="F16" s="5" t="s">
        <v>107</v>
      </c>
      <c r="G16" s="10" t="n">
        <v>2</v>
      </c>
      <c r="H16" s="11" t="n">
        <f aca="false">'Component Options'!$F$24</f>
        <v>39</v>
      </c>
      <c r="I16" s="12" t="n">
        <f aca="false">G16*H16</f>
        <v>78</v>
      </c>
    </row>
    <row r="17" customFormat="false" ht="26.25" hidden="false" customHeight="true" outlineLevel="0" collapsed="false">
      <c r="A17" s="5" t="s">
        <v>111</v>
      </c>
      <c r="B17" s="5" t="s">
        <v>112</v>
      </c>
      <c r="C17" s="10" t="n">
        <v>1</v>
      </c>
      <c r="D17" s="11" t="n">
        <f aca="false">'Component Options'!$F$25</f>
        <v>659</v>
      </c>
      <c r="E17" s="12" t="n">
        <f aca="false">C17*D17</f>
        <v>659</v>
      </c>
      <c r="F17" s="5" t="s">
        <v>112</v>
      </c>
      <c r="G17" s="10" t="n">
        <v>1</v>
      </c>
      <c r="H17" s="11" t="n">
        <f aca="false">'Component Options'!$F$25</f>
        <v>659</v>
      </c>
      <c r="I17" s="12" t="n">
        <f aca="false">G17*H17</f>
        <v>659</v>
      </c>
    </row>
    <row r="18" customFormat="false" ht="26.25" hidden="false" customHeight="true" outlineLevel="0" collapsed="false">
      <c r="A18" s="5" t="s">
        <v>152</v>
      </c>
      <c r="B18" s="5" t="s">
        <v>117</v>
      </c>
      <c r="C18" s="10" t="n">
        <v>4</v>
      </c>
      <c r="D18" s="11" t="n">
        <f aca="false">'Component Options'!$F$26</f>
        <v>120</v>
      </c>
      <c r="E18" s="12" t="n">
        <f aca="false">C18*D18</f>
        <v>480</v>
      </c>
      <c r="F18" s="5" t="s">
        <v>117</v>
      </c>
      <c r="G18" s="10" t="n">
        <v>4</v>
      </c>
      <c r="H18" s="11" t="n">
        <f aca="false">'Component Options'!$F$26</f>
        <v>120</v>
      </c>
      <c r="I18" s="12" t="n">
        <f aca="false">G18*H18</f>
        <v>480</v>
      </c>
    </row>
    <row r="19" customFormat="false" ht="15" hidden="false" customHeight="true" outlineLevel="0" collapsed="false">
      <c r="A19" s="5" t="s">
        <v>122</v>
      </c>
      <c r="B19" s="5" t="s">
        <v>123</v>
      </c>
      <c r="C19" s="10" t="n">
        <v>1</v>
      </c>
      <c r="D19" s="11" t="n">
        <f aca="false">'Component Options'!$F$27</f>
        <v>300</v>
      </c>
      <c r="E19" s="12" t="n">
        <f aca="false">C19*D19</f>
        <v>300</v>
      </c>
      <c r="F19" s="5" t="s">
        <v>123</v>
      </c>
      <c r="G19" s="10" t="n">
        <v>1</v>
      </c>
      <c r="H19" s="11" t="n">
        <f aca="false">'Component Options'!$F$27</f>
        <v>300</v>
      </c>
      <c r="I19" s="12" t="n">
        <f aca="false">G19*H19</f>
        <v>300</v>
      </c>
    </row>
    <row r="20" customFormat="false" ht="15" hidden="false" customHeight="true" outlineLevel="0" collapsed="false">
      <c r="A20" s="5" t="s">
        <v>126</v>
      </c>
      <c r="B20" s="5" t="s">
        <v>127</v>
      </c>
      <c r="C20" s="10" t="n">
        <v>1</v>
      </c>
      <c r="D20" s="11" t="n">
        <f aca="false">'Component Options'!$F$28</f>
        <v>100</v>
      </c>
      <c r="E20" s="12" t="n">
        <f aca="false">C20*D20</f>
        <v>100</v>
      </c>
      <c r="F20" s="5" t="s">
        <v>127</v>
      </c>
      <c r="G20" s="10" t="n">
        <v>1</v>
      </c>
      <c r="H20" s="11" t="n">
        <f aca="false">'Component Options'!$F$28</f>
        <v>100</v>
      </c>
      <c r="I20" s="12" t="n">
        <f aca="false">G20*H20</f>
        <v>100</v>
      </c>
    </row>
    <row r="21" customFormat="false" ht="15" hidden="false" customHeight="true" outlineLevel="0" collapsed="false">
      <c r="A21" s="5" t="s">
        <v>130</v>
      </c>
      <c r="B21" s="5" t="s">
        <v>131</v>
      </c>
      <c r="C21" s="10" t="n">
        <v>1</v>
      </c>
      <c r="D21" s="11" t="n">
        <f aca="false">'Component Options'!$F$29</f>
        <v>350</v>
      </c>
      <c r="E21" s="12" t="n">
        <f aca="false">C21*D21</f>
        <v>350</v>
      </c>
      <c r="F21" s="5" t="s">
        <v>131</v>
      </c>
      <c r="G21" s="10" t="n">
        <v>1</v>
      </c>
      <c r="H21" s="11" t="n">
        <f aca="false">'Component Options'!$F$29</f>
        <v>350</v>
      </c>
      <c r="I21" s="12" t="n">
        <f aca="false">G21*H21</f>
        <v>350</v>
      </c>
    </row>
    <row r="22" customFormat="false" ht="15" hidden="false" customHeight="true" outlineLevel="0" collapsed="false">
      <c r="A22" s="5" t="s">
        <v>134</v>
      </c>
      <c r="B22" s="5" t="s">
        <v>135</v>
      </c>
      <c r="C22" s="10" t="n">
        <v>1</v>
      </c>
      <c r="D22" s="11" t="n">
        <f aca="false">'Component Options'!$F$30</f>
        <v>100</v>
      </c>
      <c r="E22" s="12" t="n">
        <f aca="false">C22*D22</f>
        <v>100</v>
      </c>
      <c r="F22" s="5" t="s">
        <v>135</v>
      </c>
      <c r="G22" s="10" t="n">
        <v>1</v>
      </c>
      <c r="H22" s="11" t="n">
        <f aca="false">'Component Options'!$F$30</f>
        <v>100</v>
      </c>
      <c r="I22" s="12" t="n">
        <f aca="false">G22*H22</f>
        <v>100</v>
      </c>
    </row>
    <row r="23" customFormat="false" ht="15" hidden="false" customHeight="true" outlineLevel="0" collapsed="false">
      <c r="A23" s="5" t="s">
        <v>138</v>
      </c>
      <c r="B23" s="5" t="s">
        <v>139</v>
      </c>
      <c r="C23" s="10" t="n">
        <v>1</v>
      </c>
      <c r="D23" s="11" t="n">
        <f aca="false">'Component Options'!$F$31</f>
        <v>150</v>
      </c>
      <c r="E23" s="12" t="n">
        <f aca="false">C23*D23</f>
        <v>150</v>
      </c>
      <c r="F23" s="5" t="s">
        <v>139</v>
      </c>
      <c r="G23" s="10" t="n">
        <v>1</v>
      </c>
      <c r="H23" s="11" t="n">
        <f aca="false">'Component Options'!$F$31</f>
        <v>150</v>
      </c>
      <c r="I23" s="12" t="n">
        <f aca="false">G23*H23</f>
        <v>150</v>
      </c>
    </row>
    <row r="24" customFormat="false" ht="15" hidden="false" customHeight="true" outlineLevel="0" collapsed="false">
      <c r="A24" s="13" t="s">
        <v>153</v>
      </c>
      <c r="B24" s="14"/>
      <c r="C24" s="14"/>
      <c r="D24" s="14"/>
      <c r="E24" s="15" t="n">
        <f aca="false">SUM(E5:E23)</f>
        <v>8915</v>
      </c>
      <c r="F24" s="14"/>
      <c r="G24" s="14"/>
      <c r="H24" s="14"/>
      <c r="I24" s="15" t="n">
        <f aca="false">SUM(I5:I23)</f>
        <v>18550</v>
      </c>
    </row>
    <row r="25" customFormat="false" ht="15" hidden="false" customHeight="true" outlineLevel="0" collapsed="false">
      <c r="A25" s="16" t="s">
        <v>154</v>
      </c>
      <c r="I25" s="17" t="n">
        <f aca="false">I24-E24</f>
        <v>9635</v>
      </c>
    </row>
    <row r="28" customFormat="false" ht="15" hidden="false" customHeight="true" outlineLevel="0" collapsed="false">
      <c r="A28" s="18" t="s">
        <v>155</v>
      </c>
    </row>
    <row r="29" customFormat="false" ht="15" hidden="false" customHeight="true" outlineLevel="0" collapsed="false">
      <c r="A29" s="16" t="s">
        <v>156</v>
      </c>
    </row>
    <row r="30" customFormat="false" ht="15" hidden="false" customHeight="true" outlineLevel="0" collapsed="false">
      <c r="A30" s="16" t="s">
        <v>157</v>
      </c>
      <c r="E30" s="19" t="n">
        <f aca="false">E24</f>
        <v>8915</v>
      </c>
    </row>
    <row r="31" customFormat="false" ht="15" hidden="false" customHeight="true" outlineLevel="0" collapsed="false">
      <c r="A31" s="16" t="s">
        <v>158</v>
      </c>
      <c r="E31" s="19" t="n">
        <f aca="false">I5-E5</f>
        <v>2586</v>
      </c>
    </row>
    <row r="32" customFormat="false" ht="15" hidden="false" customHeight="true" outlineLevel="0" collapsed="false">
      <c r="A32" s="20" t="s">
        <v>159</v>
      </c>
      <c r="E32" s="21" t="n">
        <f aca="false">E30+E31</f>
        <v>11501</v>
      </c>
    </row>
    <row r="35" customFormat="false" ht="15" hidden="false" customHeight="true" outlineLevel="0" collapsed="false">
      <c r="A35" s="20" t="s">
        <v>160</v>
      </c>
    </row>
    <row r="36" customFormat="false" ht="15" hidden="false" customHeight="true" outlineLevel="0" collapsed="false">
      <c r="A36" s="16" t="s">
        <v>161</v>
      </c>
      <c r="B36" s="22" t="s">
        <v>162</v>
      </c>
      <c r="C36" s="23" t="n">
        <v>1</v>
      </c>
      <c r="D36" s="24" t="n">
        <f aca="false">'Component Options'!$F$13</f>
        <v>1444</v>
      </c>
      <c r="E36" s="17" t="n">
        <f aca="false">C36*D36</f>
        <v>1444</v>
      </c>
    </row>
    <row r="37" customFormat="false" ht="15" hidden="false" customHeight="true" outlineLevel="0" collapsed="false">
      <c r="A37" s="16" t="s">
        <v>163</v>
      </c>
      <c r="B37" s="22" t="s">
        <v>164</v>
      </c>
      <c r="C37" s="23" t="n">
        <v>1</v>
      </c>
      <c r="D37" s="24" t="n">
        <f aca="false">'Component Options'!$F$17</f>
        <v>3499</v>
      </c>
      <c r="E37" s="17" t="n">
        <f aca="false">C37*D37-'Component Options'!$F$18</f>
        <v>3000</v>
      </c>
    </row>
    <row r="38" customFormat="false" ht="15" hidden="false" customHeight="true" outlineLevel="0" collapsed="false">
      <c r="A38" s="16" t="s">
        <v>165</v>
      </c>
      <c r="B38" s="22" t="s">
        <v>166</v>
      </c>
      <c r="C38" s="23" t="n">
        <v>4</v>
      </c>
      <c r="D38" s="24" t="n">
        <f aca="false">'Component Options'!$F$16</f>
        <v>179</v>
      </c>
      <c r="E38" s="17" t="n">
        <f aca="false">C38*(D38-'Component Options'!$F$15)</f>
        <v>240</v>
      </c>
    </row>
    <row r="39" customFormat="false" ht="15" hidden="false" customHeight="true" outlineLevel="0" collapsed="false">
      <c r="A39" s="20" t="s">
        <v>167</v>
      </c>
      <c r="E39" s="25" t="n">
        <f aca="false">SUM(E36:E38)</f>
        <v>4684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60"/>
    <col collapsed="false" customWidth="true" hidden="false" outlineLevel="0" max="5" min="5" style="1" width="16"/>
    <col collapsed="false" customWidth="true" hidden="false" outlineLevel="0" max="6" min="6" style="1" width="9"/>
  </cols>
  <sheetData>
    <row r="1" customFormat="false" ht="17.25" hidden="false" customHeight="true" outlineLevel="0" collapsed="false">
      <c r="A1" s="2" t="s">
        <v>168</v>
      </c>
    </row>
    <row r="2" customFormat="false" ht="15" hidden="false" customHeight="true" outlineLevel="0" collapsed="false">
      <c r="A2" s="3" t="s">
        <v>169</v>
      </c>
    </row>
    <row r="4" customFormat="false" ht="15" hidden="false" customHeight="true" outlineLevel="0" collapsed="false">
      <c r="A4" s="26" t="s">
        <v>170</v>
      </c>
      <c r="B4" s="26" t="s">
        <v>171</v>
      </c>
      <c r="C4" s="26" t="s">
        <v>172</v>
      </c>
      <c r="D4" s="26" t="s">
        <v>173</v>
      </c>
    </row>
    <row r="5" customFormat="false" ht="15" hidden="false" customHeight="true" outlineLevel="0" collapsed="false">
      <c r="A5" s="16" t="s">
        <v>174</v>
      </c>
      <c r="B5" s="27" t="n">
        <v>11.1</v>
      </c>
      <c r="C5" s="16" t="s">
        <v>175</v>
      </c>
      <c r="D5" s="22" t="s">
        <v>176</v>
      </c>
    </row>
    <row r="6" customFormat="false" ht="15" hidden="false" customHeight="true" outlineLevel="0" collapsed="false">
      <c r="A6" s="16" t="s">
        <v>177</v>
      </c>
      <c r="B6" s="27" t="n">
        <v>1000</v>
      </c>
      <c r="C6" s="16" t="s">
        <v>178</v>
      </c>
      <c r="D6" s="22" t="s">
        <v>179</v>
      </c>
    </row>
    <row r="7" customFormat="false" ht="15" hidden="false" customHeight="true" outlineLevel="0" collapsed="false">
      <c r="A7" s="16" t="s">
        <v>180</v>
      </c>
      <c r="B7" s="27" t="n">
        <v>4.5</v>
      </c>
      <c r="C7" s="16" t="s">
        <v>181</v>
      </c>
      <c r="D7" s="22" t="s">
        <v>182</v>
      </c>
    </row>
    <row r="8" customFormat="false" ht="15" hidden="false" customHeight="true" outlineLevel="0" collapsed="false">
      <c r="A8" s="16" t="s">
        <v>183</v>
      </c>
      <c r="B8" s="27" t="n">
        <v>885</v>
      </c>
      <c r="C8" s="16" t="s">
        <v>184</v>
      </c>
      <c r="D8" s="22" t="s">
        <v>185</v>
      </c>
    </row>
    <row r="9" customFormat="false" ht="15" hidden="false" customHeight="true" outlineLevel="0" collapsed="false">
      <c r="A9" s="16" t="s">
        <v>186</v>
      </c>
      <c r="B9" s="27" t="n">
        <v>15.6</v>
      </c>
      <c r="C9" s="16" t="s">
        <v>187</v>
      </c>
      <c r="D9" s="22" t="s">
        <v>188</v>
      </c>
    </row>
    <row r="10" customFormat="false" ht="15" hidden="false" customHeight="true" outlineLevel="0" collapsed="false">
      <c r="A10" s="16" t="s">
        <v>189</v>
      </c>
      <c r="B10" s="27" t="n">
        <v>173</v>
      </c>
      <c r="C10" s="16" t="s">
        <v>190</v>
      </c>
      <c r="D10" s="22" t="s">
        <v>188</v>
      </c>
    </row>
    <row r="11" customFormat="false" ht="15" hidden="false" customHeight="true" outlineLevel="0" collapsed="false">
      <c r="A11" s="16" t="s">
        <v>191</v>
      </c>
      <c r="B11" s="28" t="n">
        <f aca="false">'Weight Build-up'!$E$33</f>
        <v>1144.34734306532</v>
      </c>
      <c r="C11" s="16" t="s">
        <v>184</v>
      </c>
      <c r="D11" s="22" t="s">
        <v>192</v>
      </c>
    </row>
    <row r="12" customFormat="false" ht="15" hidden="false" customHeight="true" outlineLevel="0" collapsed="false">
      <c r="A12" s="16" t="s">
        <v>193</v>
      </c>
      <c r="B12" s="27" t="n">
        <v>0.29</v>
      </c>
      <c r="C12" s="16" t="s">
        <v>194</v>
      </c>
      <c r="D12" s="22" t="s">
        <v>195</v>
      </c>
    </row>
    <row r="13" customFormat="false" ht="15" hidden="false" customHeight="true" outlineLevel="0" collapsed="false">
      <c r="A13" s="16" t="s">
        <v>196</v>
      </c>
      <c r="B13" s="27" t="n">
        <v>1.2</v>
      </c>
      <c r="C13" s="16" t="s">
        <v>93</v>
      </c>
      <c r="D13" s="29" t="s">
        <v>197</v>
      </c>
    </row>
    <row r="14" customFormat="false" ht="15" hidden="false" customHeight="true" outlineLevel="0" collapsed="false">
      <c r="A14" s="16" t="s">
        <v>198</v>
      </c>
      <c r="B14" s="27" t="n">
        <v>1.225</v>
      </c>
      <c r="C14" s="16" t="s">
        <v>199</v>
      </c>
      <c r="D14" s="22" t="s">
        <v>200</v>
      </c>
    </row>
    <row r="15" customFormat="false" ht="15" hidden="false" customHeight="true" outlineLevel="0" collapsed="false">
      <c r="A15" s="16" t="s">
        <v>201</v>
      </c>
      <c r="B15" s="27" t="n">
        <v>30</v>
      </c>
      <c r="C15" s="16" t="s">
        <v>187</v>
      </c>
      <c r="D15" s="22" t="s">
        <v>202</v>
      </c>
    </row>
    <row r="16" customFormat="false" ht="15" hidden="false" customHeight="true" outlineLevel="0" collapsed="false">
      <c r="A16" s="16" t="s">
        <v>203</v>
      </c>
      <c r="B16" s="27" t="n">
        <v>1.2</v>
      </c>
      <c r="C16" s="16" t="s">
        <v>204</v>
      </c>
      <c r="D16" s="22" t="s">
        <v>205</v>
      </c>
    </row>
    <row r="17" customFormat="false" ht="15" hidden="false" customHeight="true" outlineLevel="0" collapsed="false">
      <c r="A17" s="16" t="s">
        <v>206</v>
      </c>
      <c r="B17" s="27" t="n">
        <v>2.2</v>
      </c>
      <c r="C17" s="16" t="s">
        <v>207</v>
      </c>
      <c r="D17" s="22" t="s">
        <v>208</v>
      </c>
    </row>
    <row r="18" customFormat="false" ht="15" hidden="false" customHeight="true" outlineLevel="0" collapsed="false">
      <c r="A18" s="16" t="s">
        <v>209</v>
      </c>
      <c r="B18" s="27" t="n">
        <v>40</v>
      </c>
      <c r="C18" s="16" t="s">
        <v>210</v>
      </c>
      <c r="D18" s="22" t="s">
        <v>211</v>
      </c>
    </row>
    <row r="19" customFormat="false" ht="15" hidden="false" customHeight="true" outlineLevel="0" collapsed="false">
      <c r="A19" s="16" t="s">
        <v>212</v>
      </c>
      <c r="B19" s="27" t="n">
        <v>0.8</v>
      </c>
      <c r="C19" s="16" t="s">
        <v>93</v>
      </c>
      <c r="D19" s="29" t="s">
        <v>213</v>
      </c>
    </row>
    <row r="20" customFormat="false" ht="15" hidden="false" customHeight="true" outlineLevel="0" collapsed="false">
      <c r="A20" s="16" t="s">
        <v>214</v>
      </c>
      <c r="B20" s="27" t="n">
        <v>3</v>
      </c>
      <c r="C20" s="16" t="s">
        <v>187</v>
      </c>
      <c r="D20" s="22" t="s">
        <v>215</v>
      </c>
    </row>
    <row r="21" customFormat="false" ht="15" hidden="false" customHeight="true" outlineLevel="0" collapsed="false">
      <c r="A21" s="16" t="s">
        <v>216</v>
      </c>
      <c r="B21" s="27" t="n">
        <v>4</v>
      </c>
      <c r="C21" s="16" t="s">
        <v>93</v>
      </c>
      <c r="D21" s="22" t="s">
        <v>217</v>
      </c>
    </row>
    <row r="22" customFormat="false" ht="15" hidden="false" customHeight="true" outlineLevel="0" collapsed="false">
      <c r="A22" s="16" t="s">
        <v>218</v>
      </c>
      <c r="B22" s="27" t="n">
        <v>0.25</v>
      </c>
      <c r="C22" s="16" t="s">
        <v>187</v>
      </c>
      <c r="D22" s="29" t="s">
        <v>219</v>
      </c>
    </row>
    <row r="23" customFormat="false" ht="15" hidden="false" customHeight="true" outlineLevel="0" collapsed="false">
      <c r="A23" s="16" t="s">
        <v>220</v>
      </c>
      <c r="B23" s="27" t="n">
        <v>0.1</v>
      </c>
      <c r="C23" s="16" t="s">
        <v>187</v>
      </c>
      <c r="D23" s="29" t="s">
        <v>221</v>
      </c>
    </row>
    <row r="24" customFormat="false" ht="15" hidden="false" customHeight="true" outlineLevel="0" collapsed="false">
      <c r="A24" s="16" t="s">
        <v>222</v>
      </c>
      <c r="B24" s="27" t="n">
        <v>0.5</v>
      </c>
      <c r="C24" s="16" t="s">
        <v>93</v>
      </c>
      <c r="D24" s="22" t="s">
        <v>223</v>
      </c>
    </row>
    <row r="26" customFormat="false" ht="15" hidden="false" customHeight="true" outlineLevel="0" collapsed="false">
      <c r="A26" s="18" t="s">
        <v>224</v>
      </c>
    </row>
    <row r="27" customFormat="false" ht="15" hidden="false" customHeight="true" outlineLevel="0" collapsed="false">
      <c r="A27" s="26" t="s">
        <v>225</v>
      </c>
      <c r="B27" s="26" t="s">
        <v>226</v>
      </c>
      <c r="C27" s="26" t="s">
        <v>172</v>
      </c>
      <c r="D27" s="26" t="s">
        <v>227</v>
      </c>
      <c r="E27" s="26" t="s">
        <v>228</v>
      </c>
      <c r="F27" s="26" t="s">
        <v>229</v>
      </c>
    </row>
    <row r="28" customFormat="false" ht="15" hidden="false" customHeight="true" outlineLevel="0" collapsed="false">
      <c r="A28" s="16" t="s">
        <v>230</v>
      </c>
      <c r="B28" s="30" t="n">
        <f aca="false">$B$6*$B$5</f>
        <v>11100</v>
      </c>
      <c r="C28" s="16" t="s">
        <v>231</v>
      </c>
      <c r="D28" s="22" t="s">
        <v>232</v>
      </c>
    </row>
    <row r="29" customFormat="false" ht="15" hidden="false" customHeight="true" outlineLevel="0" collapsed="false">
      <c r="A29" s="16" t="s">
        <v>233</v>
      </c>
      <c r="B29" s="31" t="n">
        <f aca="false">B28*$B$7*0.0254/60</f>
        <v>21.1455</v>
      </c>
      <c r="C29" s="16" t="s">
        <v>234</v>
      </c>
      <c r="D29" s="22" t="s">
        <v>235</v>
      </c>
    </row>
    <row r="30" customFormat="false" ht="15" hidden="false" customHeight="true" outlineLevel="0" collapsed="false">
      <c r="A30" s="16" t="s">
        <v>236</v>
      </c>
      <c r="B30" s="31" t="n">
        <f aca="false">SQRT(2*$B$11/1000*9.81/($B$14*$B$12*$B$13))</f>
        <v>7.25722800832826</v>
      </c>
      <c r="C30" s="16" t="s">
        <v>234</v>
      </c>
      <c r="D30" s="22" t="s">
        <v>237</v>
      </c>
    </row>
    <row r="31" customFormat="false" ht="15" hidden="false" customHeight="true" outlineLevel="0" collapsed="false">
      <c r="A31" s="16" t="s">
        <v>238</v>
      </c>
      <c r="B31" s="31" t="n">
        <f aca="false">B29/B30</f>
        <v>2.91371581211639</v>
      </c>
      <c r="C31" s="16" t="s">
        <v>204</v>
      </c>
      <c r="D31" s="22" t="s">
        <v>239</v>
      </c>
      <c r="E31" s="32" t="s">
        <v>240</v>
      </c>
      <c r="F31" s="20" t="str">
        <f aca="false">IF(B31&gt;=2,"PASS","CHECK")</f>
        <v>PASS</v>
      </c>
    </row>
    <row r="32" customFormat="false" ht="15" hidden="false" customHeight="true" outlineLevel="0" collapsed="false">
      <c r="A32" s="16" t="s">
        <v>241</v>
      </c>
      <c r="B32" s="31" t="n">
        <f aca="false">$B$8/$B$11</f>
        <v>0.773366587831089</v>
      </c>
      <c r="C32" s="16" t="s">
        <v>93</v>
      </c>
      <c r="D32" s="22" t="s">
        <v>242</v>
      </c>
      <c r="E32" s="32" t="n">
        <f aca="false">$B$24</f>
        <v>0.5</v>
      </c>
      <c r="F32" s="20" t="str">
        <f aca="false">IF(B32&gt;=E32,"PASS","FAIL")</f>
        <v>PASS</v>
      </c>
    </row>
    <row r="33" customFormat="false" ht="15" hidden="false" customHeight="true" outlineLevel="0" collapsed="false">
      <c r="A33" s="16" t="s">
        <v>243</v>
      </c>
      <c r="B33" s="31" t="n">
        <f aca="false">$B$10/($B$11/1000)</f>
        <v>151.177875361332</v>
      </c>
      <c r="C33" s="16" t="s">
        <v>244</v>
      </c>
      <c r="D33" s="22" t="s">
        <v>245</v>
      </c>
    </row>
    <row r="34" customFormat="false" ht="15" hidden="false" customHeight="true" outlineLevel="0" collapsed="false">
      <c r="A34" s="16" t="s">
        <v>246</v>
      </c>
      <c r="B34" s="31" t="n">
        <f aca="false">$B$15/$B$9</f>
        <v>1.92307692307692</v>
      </c>
      <c r="C34" s="16" t="s">
        <v>204</v>
      </c>
      <c r="D34" s="22" t="s">
        <v>247</v>
      </c>
      <c r="E34" s="32" t="n">
        <f aca="false">$B$16</f>
        <v>1.2</v>
      </c>
      <c r="F34" s="20" t="str">
        <f aca="false">IF(B34&gt;=E34,"PASS","FAIL")</f>
        <v>PASS</v>
      </c>
    </row>
    <row r="35" customFormat="false" ht="15" hidden="false" customHeight="true" outlineLevel="0" collapsed="false">
      <c r="A35" s="16" t="s">
        <v>248</v>
      </c>
      <c r="B35" s="31" t="n">
        <f aca="false">$B$18*$B$17</f>
        <v>88</v>
      </c>
      <c r="C35" s="16" t="s">
        <v>187</v>
      </c>
      <c r="D35" s="22" t="s">
        <v>249</v>
      </c>
      <c r="E35" s="32" t="n">
        <f aca="false">$B$9</f>
        <v>15.6</v>
      </c>
      <c r="F35" s="20" t="str">
        <f aca="false">IF(B35&gt;=E35,"PASS","FAIL")</f>
        <v>PASS</v>
      </c>
    </row>
    <row r="36" customFormat="false" ht="15" hidden="false" customHeight="true" outlineLevel="0" collapsed="false">
      <c r="A36" s="16" t="s">
        <v>250</v>
      </c>
      <c r="B36" s="31" t="n">
        <f aca="false">$B$5*$B$17</f>
        <v>24.42</v>
      </c>
      <c r="C36" s="16" t="s">
        <v>251</v>
      </c>
      <c r="D36" s="22" t="s">
        <v>252</v>
      </c>
      <c r="E36" s="32" t="s">
        <v>253</v>
      </c>
      <c r="F36" s="20" t="str">
        <f aca="false">IF(B36&lt;=100,"PASS","FAIL")</f>
        <v>PASS</v>
      </c>
    </row>
    <row r="37" customFormat="false" ht="15" hidden="false" customHeight="true" outlineLevel="0" collapsed="false">
      <c r="A37" s="16" t="s">
        <v>254</v>
      </c>
      <c r="B37" s="31" t="n">
        <f aca="false">$B$17*$B$19/$B$9*60</f>
        <v>6.76923076923077</v>
      </c>
      <c r="C37" s="16" t="s">
        <v>255</v>
      </c>
      <c r="D37" s="22" t="s">
        <v>256</v>
      </c>
    </row>
    <row r="38" customFormat="false" ht="15" hidden="false" customHeight="true" outlineLevel="0" collapsed="false">
      <c r="A38" s="16" t="s">
        <v>257</v>
      </c>
      <c r="B38" s="31" t="n">
        <f aca="false">$B$21*$B$22+$B$23</f>
        <v>1.1</v>
      </c>
      <c r="C38" s="16" t="s">
        <v>187</v>
      </c>
      <c r="D38" s="22" t="s">
        <v>258</v>
      </c>
      <c r="E38" s="32" t="n">
        <f aca="false">$B$20</f>
        <v>3</v>
      </c>
      <c r="F38" s="20" t="str">
        <f aca="false">IF(B38&lt;=E38,"PASS","FAIL")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33" t="s">
        <v>259</v>
      </c>
    </row>
    <row r="2" customFormat="false" ht="15" hidden="false" customHeight="false" outlineLevel="0" collapsed="false">
      <c r="A2" s="34" t="s">
        <v>260</v>
      </c>
    </row>
    <row r="4" customFormat="false" ht="15" hidden="false" customHeight="false" outlineLevel="0" collapsed="false">
      <c r="A4" s="35" t="s">
        <v>261</v>
      </c>
    </row>
    <row r="5" customFormat="false" ht="15" hidden="false" customHeight="false" outlineLevel="0" collapsed="false">
      <c r="A5" s="36" t="s">
        <v>262</v>
      </c>
      <c r="B5" s="37" t="n">
        <v>300</v>
      </c>
      <c r="C5" s="38" t="s">
        <v>263</v>
      </c>
    </row>
    <row r="6" customFormat="false" ht="15" hidden="false" customHeight="false" outlineLevel="0" collapsed="false">
      <c r="A6" s="36" t="s">
        <v>264</v>
      </c>
      <c r="B6" s="37" t="n">
        <v>1200</v>
      </c>
      <c r="C6" s="38" t="s">
        <v>265</v>
      </c>
    </row>
    <row r="7" customFormat="false" ht="15" hidden="false" customHeight="false" outlineLevel="0" collapsed="false">
      <c r="A7" s="36" t="s">
        <v>266</v>
      </c>
      <c r="B7" s="37" t="n">
        <v>6</v>
      </c>
      <c r="C7" s="38" t="s">
        <v>267</v>
      </c>
    </row>
    <row r="8" customFormat="false" ht="15" hidden="false" customHeight="false" outlineLevel="0" collapsed="false">
      <c r="A8" s="36" t="s">
        <v>268</v>
      </c>
      <c r="B8" s="37" t="n">
        <v>4</v>
      </c>
      <c r="C8" s="38" t="s">
        <v>269</v>
      </c>
    </row>
    <row r="9" customFormat="false" ht="15" hidden="false" customHeight="false" outlineLevel="0" collapsed="false">
      <c r="A9" s="36" t="s">
        <v>270</v>
      </c>
      <c r="B9" s="37" t="n">
        <v>1000</v>
      </c>
      <c r="C9" s="38" t="s">
        <v>271</v>
      </c>
    </row>
    <row r="10" customFormat="false" ht="15" hidden="false" customHeight="false" outlineLevel="0" collapsed="false">
      <c r="A10" s="36" t="s">
        <v>272</v>
      </c>
      <c r="B10" s="37" t="n">
        <v>1.55</v>
      </c>
      <c r="C10" s="38" t="s">
        <v>273</v>
      </c>
    </row>
    <row r="11" customFormat="false" ht="15" hidden="false" customHeight="false" outlineLevel="0" collapsed="false">
      <c r="A11" s="36" t="s">
        <v>274</v>
      </c>
      <c r="B11" s="37" t="n">
        <v>140</v>
      </c>
      <c r="C11" s="38" t="s">
        <v>275</v>
      </c>
    </row>
    <row r="12" customFormat="false" ht="15" hidden="false" customHeight="false" outlineLevel="0" collapsed="false">
      <c r="A12" s="36" t="s">
        <v>276</v>
      </c>
      <c r="B12" s="37" t="n">
        <v>2.5</v>
      </c>
      <c r="C12" s="38" t="s">
        <v>277</v>
      </c>
    </row>
    <row r="14" customFormat="false" ht="15" hidden="false" customHeight="false" outlineLevel="0" collapsed="false">
      <c r="A14" s="36" t="s">
        <v>278</v>
      </c>
      <c r="B14" s="39" t="n">
        <f aca="false">PI()/4*($B$7^2-$B$8^2)</f>
        <v>15.707963267949</v>
      </c>
    </row>
    <row r="15" customFormat="false" ht="15" hidden="false" customHeight="false" outlineLevel="0" collapsed="false">
      <c r="A15" s="36" t="s">
        <v>279</v>
      </c>
      <c r="B15" s="39" t="n">
        <f aca="false">B14*$B$9/1000*$B$10</f>
        <v>24.3473430653209</v>
      </c>
      <c r="C15" s="38" t="s">
        <v>280</v>
      </c>
    </row>
    <row r="17" customFormat="false" ht="26.85" hidden="false" customHeight="false" outlineLevel="0" collapsed="false">
      <c r="A17" s="40" t="s">
        <v>281</v>
      </c>
      <c r="B17" s="40" t="s">
        <v>282</v>
      </c>
      <c r="C17" s="40" t="s">
        <v>143</v>
      </c>
      <c r="D17" s="40" t="s">
        <v>283</v>
      </c>
      <c r="E17" s="40" t="s">
        <v>284</v>
      </c>
      <c r="F17" s="40" t="s">
        <v>285</v>
      </c>
      <c r="G17" s="40" t="s">
        <v>286</v>
      </c>
      <c r="H17" s="40" t="s">
        <v>287</v>
      </c>
    </row>
    <row r="18" customFormat="false" ht="15" hidden="false" customHeight="false" outlineLevel="0" collapsed="false">
      <c r="A18" s="41" t="s">
        <v>288</v>
      </c>
      <c r="B18" s="41" t="s">
        <v>289</v>
      </c>
      <c r="C18" s="42" t="n">
        <v>1</v>
      </c>
      <c r="D18" s="43" t="n">
        <v>175</v>
      </c>
      <c r="E18" s="44" t="n">
        <f aca="false">C18*D18</f>
        <v>175</v>
      </c>
      <c r="F18" s="45" t="n">
        <f aca="false">E18/$E$31</f>
        <v>0.207260674694231</v>
      </c>
      <c r="G18" s="41" t="s">
        <v>18</v>
      </c>
      <c r="H18" s="46" t="s">
        <v>290</v>
      </c>
    </row>
    <row r="19" customFormat="false" ht="15" hidden="false" customHeight="false" outlineLevel="0" collapsed="false">
      <c r="A19" s="41" t="s">
        <v>291</v>
      </c>
      <c r="B19" s="41" t="s">
        <v>289</v>
      </c>
      <c r="C19" s="42" t="n">
        <v>4</v>
      </c>
      <c r="D19" s="43" t="n">
        <v>9</v>
      </c>
      <c r="E19" s="44" t="n">
        <f aca="false">C19*D19</f>
        <v>36</v>
      </c>
      <c r="F19" s="45" t="n">
        <f aca="false">E19/$E$31</f>
        <v>0.0426364816513847</v>
      </c>
      <c r="G19" s="41" t="s">
        <v>18</v>
      </c>
      <c r="H19" s="46" t="s">
        <v>292</v>
      </c>
    </row>
    <row r="20" customFormat="false" ht="15" hidden="false" customHeight="false" outlineLevel="0" collapsed="false">
      <c r="A20" s="41" t="s">
        <v>293</v>
      </c>
      <c r="B20" s="41" t="s">
        <v>289</v>
      </c>
      <c r="C20" s="42" t="n">
        <v>1</v>
      </c>
      <c r="D20" s="43" t="n">
        <v>52</v>
      </c>
      <c r="E20" s="44" t="n">
        <f aca="false">C20*D20</f>
        <v>52</v>
      </c>
      <c r="F20" s="45" t="n">
        <f aca="false">E20/$E$31</f>
        <v>0.0615860290520002</v>
      </c>
      <c r="G20" s="41" t="s">
        <v>294</v>
      </c>
      <c r="H20" s="46" t="s">
        <v>295</v>
      </c>
    </row>
    <row r="21" customFormat="false" ht="15" hidden="false" customHeight="false" outlineLevel="0" collapsed="false">
      <c r="A21" s="41" t="s">
        <v>296</v>
      </c>
      <c r="B21" s="41" t="s">
        <v>289</v>
      </c>
      <c r="C21" s="42" t="n">
        <v>1</v>
      </c>
      <c r="D21" s="43" t="n">
        <v>25</v>
      </c>
      <c r="E21" s="44" t="n">
        <f aca="false">C21*D21</f>
        <v>25</v>
      </c>
      <c r="F21" s="45" t="n">
        <f aca="false">E21/$E$31</f>
        <v>0.0296086678134616</v>
      </c>
      <c r="G21" s="41" t="s">
        <v>294</v>
      </c>
      <c r="H21" s="46" t="s">
        <v>297</v>
      </c>
    </row>
    <row r="22" customFormat="false" ht="15" hidden="false" customHeight="false" outlineLevel="0" collapsed="false">
      <c r="A22" s="41" t="s">
        <v>298</v>
      </c>
      <c r="B22" s="41" t="s">
        <v>289</v>
      </c>
      <c r="C22" s="42" t="n">
        <v>1</v>
      </c>
      <c r="D22" s="43" t="n">
        <v>15</v>
      </c>
      <c r="E22" s="44" t="n">
        <f aca="false">C22*D22</f>
        <v>15</v>
      </c>
      <c r="F22" s="45" t="n">
        <f aca="false">E22/$E$31</f>
        <v>0.017765200688077</v>
      </c>
      <c r="G22" s="41" t="s">
        <v>294</v>
      </c>
      <c r="H22" s="46" t="s">
        <v>297</v>
      </c>
    </row>
    <row r="23" customFormat="false" ht="15" hidden="false" customHeight="false" outlineLevel="0" collapsed="false">
      <c r="A23" s="41" t="s">
        <v>182</v>
      </c>
      <c r="B23" s="41" t="s">
        <v>289</v>
      </c>
      <c r="C23" s="42" t="n">
        <v>1</v>
      </c>
      <c r="D23" s="43" t="n">
        <v>12</v>
      </c>
      <c r="E23" s="44" t="n">
        <f aca="false">C23*D23</f>
        <v>12</v>
      </c>
      <c r="F23" s="45" t="n">
        <f aca="false">E23/$E$31</f>
        <v>0.0142121605504616</v>
      </c>
      <c r="G23" s="41" t="s">
        <v>294</v>
      </c>
      <c r="H23" s="46" t="s">
        <v>297</v>
      </c>
    </row>
    <row r="24" customFormat="false" ht="15" hidden="false" customHeight="false" outlineLevel="0" collapsed="false">
      <c r="A24" s="41" t="s">
        <v>299</v>
      </c>
      <c r="B24" s="41" t="s">
        <v>300</v>
      </c>
      <c r="C24" s="42" t="n">
        <v>1</v>
      </c>
      <c r="D24" s="47" t="n">
        <f aca="false">B15</f>
        <v>24.3473430653209</v>
      </c>
      <c r="E24" s="44" t="n">
        <f aca="false">C24*D24</f>
        <v>24.3473430653209</v>
      </c>
      <c r="F24" s="45" t="n">
        <f aca="false">E24/$E$31</f>
        <v>0.028835695718459</v>
      </c>
      <c r="G24" s="41" t="s">
        <v>301</v>
      </c>
      <c r="H24" s="46" t="s">
        <v>302</v>
      </c>
    </row>
    <row r="25" customFormat="false" ht="15" hidden="false" customHeight="false" outlineLevel="0" collapsed="false">
      <c r="A25" s="41" t="s">
        <v>303</v>
      </c>
      <c r="B25" s="41" t="s">
        <v>300</v>
      </c>
      <c r="C25" s="48" t="n">
        <f aca="false">$B$12</f>
        <v>2.5</v>
      </c>
      <c r="D25" s="47" t="n">
        <f aca="false">$B$11</f>
        <v>140</v>
      </c>
      <c r="E25" s="44" t="n">
        <f aca="false">C25*D25</f>
        <v>350</v>
      </c>
      <c r="F25" s="45" t="n">
        <f aca="false">E25/$E$31</f>
        <v>0.414521349388463</v>
      </c>
      <c r="G25" s="41" t="s">
        <v>120</v>
      </c>
      <c r="H25" s="46" t="s">
        <v>304</v>
      </c>
    </row>
    <row r="26" customFormat="false" ht="15" hidden="false" customHeight="false" outlineLevel="0" collapsed="false">
      <c r="A26" s="41" t="s">
        <v>305</v>
      </c>
      <c r="B26" s="41" t="s">
        <v>306</v>
      </c>
      <c r="C26" s="42" t="n">
        <v>1</v>
      </c>
      <c r="D26" s="43" t="n">
        <v>50</v>
      </c>
      <c r="E26" s="44" t="n">
        <f aca="false">C26*D26</f>
        <v>50</v>
      </c>
      <c r="F26" s="45" t="n">
        <f aca="false">E26/$E$31</f>
        <v>0.0592173356269232</v>
      </c>
      <c r="G26" s="41" t="s">
        <v>120</v>
      </c>
      <c r="H26" s="46"/>
    </row>
    <row r="27" customFormat="false" ht="15" hidden="false" customHeight="false" outlineLevel="0" collapsed="false">
      <c r="A27" s="41" t="s">
        <v>307</v>
      </c>
      <c r="B27" s="41" t="s">
        <v>306</v>
      </c>
      <c r="C27" s="42" t="n">
        <v>1</v>
      </c>
      <c r="D27" s="43" t="n">
        <v>40</v>
      </c>
      <c r="E27" s="44" t="n">
        <f aca="false">C27*D27</f>
        <v>40</v>
      </c>
      <c r="F27" s="45" t="n">
        <f aca="false">E27/$E$31</f>
        <v>0.0473738685015386</v>
      </c>
      <c r="G27" s="41" t="s">
        <v>120</v>
      </c>
      <c r="H27" s="46"/>
    </row>
    <row r="28" customFormat="false" ht="15" hidden="false" customHeight="false" outlineLevel="0" collapsed="false">
      <c r="A28" s="41" t="s">
        <v>308</v>
      </c>
      <c r="B28" s="41" t="s">
        <v>306</v>
      </c>
      <c r="C28" s="42" t="n">
        <v>1</v>
      </c>
      <c r="D28" s="43" t="n">
        <v>30</v>
      </c>
      <c r="E28" s="44" t="n">
        <f aca="false">C28*D28</f>
        <v>30</v>
      </c>
      <c r="F28" s="45" t="n">
        <f aca="false">E28/$E$31</f>
        <v>0.0355304013761539</v>
      </c>
      <c r="G28" s="41" t="s">
        <v>120</v>
      </c>
      <c r="H28" s="46"/>
    </row>
    <row r="29" customFormat="false" ht="15" hidden="false" customHeight="false" outlineLevel="0" collapsed="false">
      <c r="A29" s="41" t="s">
        <v>309</v>
      </c>
      <c r="B29" s="41" t="s">
        <v>306</v>
      </c>
      <c r="C29" s="42" t="n">
        <v>1</v>
      </c>
      <c r="D29" s="43" t="n">
        <v>15</v>
      </c>
      <c r="E29" s="44" t="n">
        <f aca="false">C29*D29</f>
        <v>15</v>
      </c>
      <c r="F29" s="45" t="n">
        <f aca="false">E29/$E$31</f>
        <v>0.017765200688077</v>
      </c>
      <c r="G29" s="41" t="s">
        <v>120</v>
      </c>
      <c r="H29" s="46"/>
    </row>
    <row r="30" customFormat="false" ht="15" hidden="false" customHeight="false" outlineLevel="0" collapsed="false">
      <c r="A30" s="41" t="s">
        <v>134</v>
      </c>
      <c r="B30" s="41" t="s">
        <v>306</v>
      </c>
      <c r="C30" s="42" t="n">
        <v>1</v>
      </c>
      <c r="D30" s="43" t="n">
        <v>20</v>
      </c>
      <c r="E30" s="44" t="n">
        <f aca="false">C30*D30</f>
        <v>20</v>
      </c>
      <c r="F30" s="45" t="n">
        <f aca="false">E30/$E$31</f>
        <v>0.0236869342507693</v>
      </c>
      <c r="G30" s="41" t="s">
        <v>120</v>
      </c>
      <c r="H30" s="46"/>
    </row>
    <row r="31" customFormat="false" ht="15" hidden="false" customHeight="false" outlineLevel="0" collapsed="false">
      <c r="A31" s="49" t="s">
        <v>310</v>
      </c>
      <c r="B31" s="50"/>
      <c r="C31" s="50"/>
      <c r="D31" s="50"/>
      <c r="E31" s="51" t="n">
        <f aca="false">SUM(E18:E30)</f>
        <v>844.347343065321</v>
      </c>
      <c r="F31" s="50"/>
      <c r="G31" s="50"/>
      <c r="H31" s="50"/>
    </row>
    <row r="32" customFormat="false" ht="15" hidden="false" customHeight="false" outlineLevel="0" collapsed="false">
      <c r="A32" s="49" t="s">
        <v>311</v>
      </c>
      <c r="B32" s="50"/>
      <c r="C32" s="50"/>
      <c r="D32" s="50"/>
      <c r="E32" s="52" t="n">
        <f aca="false">$B$5</f>
        <v>300</v>
      </c>
      <c r="F32" s="50"/>
      <c r="G32" s="50"/>
      <c r="H32" s="50"/>
    </row>
    <row r="33" customFormat="false" ht="15" hidden="false" customHeight="false" outlineLevel="0" collapsed="false">
      <c r="A33" s="49" t="s">
        <v>312</v>
      </c>
      <c r="B33" s="50"/>
      <c r="C33" s="50"/>
      <c r="D33" s="50"/>
      <c r="E33" s="53" t="n">
        <f aca="false">E31+E32</f>
        <v>1144.34734306532</v>
      </c>
      <c r="F33" s="50"/>
      <c r="G33" s="50"/>
      <c r="H33" s="50"/>
    </row>
    <row r="34" customFormat="false" ht="15" hidden="false" customHeight="false" outlineLevel="0" collapsed="false">
      <c r="A34" s="49" t="s">
        <v>313</v>
      </c>
      <c r="B34" s="50"/>
      <c r="C34" s="50"/>
      <c r="D34" s="50"/>
      <c r="E34" s="52" t="n">
        <f aca="false">$B$6</f>
        <v>1200</v>
      </c>
      <c r="F34" s="50"/>
      <c r="G34" s="50"/>
      <c r="H34" s="50"/>
    </row>
    <row r="35" customFormat="false" ht="15" hidden="false" customHeight="false" outlineLevel="0" collapsed="false">
      <c r="A35" s="49" t="s">
        <v>314</v>
      </c>
      <c r="B35" s="50"/>
      <c r="C35" s="50"/>
      <c r="D35" s="50"/>
      <c r="E35" s="51" t="n">
        <f aca="false">E34-E33</f>
        <v>55.6526569346793</v>
      </c>
      <c r="F35" s="50"/>
      <c r="G35" s="50"/>
      <c r="H35" s="50"/>
    </row>
    <row r="36" customFormat="false" ht="15" hidden="false" customHeight="false" outlineLevel="0" collapsed="false">
      <c r="A36" s="49" t="s">
        <v>315</v>
      </c>
      <c r="B36" s="50"/>
      <c r="C36" s="50"/>
      <c r="D36" s="50"/>
      <c r="E36" s="54" t="n">
        <f aca="false">IF(E34=0,0,E35/E34)</f>
        <v>0.0463772141122327</v>
      </c>
      <c r="F36" s="50"/>
      <c r="G36" s="50"/>
      <c r="H36" s="50"/>
    </row>
    <row r="39" customFormat="false" ht="15" hidden="false" customHeight="false" outlineLevel="0" collapsed="false">
      <c r="A39" s="35" t="s">
        <v>316</v>
      </c>
    </row>
    <row r="40" customFormat="false" ht="15" hidden="false" customHeight="false" outlineLevel="0" collapsed="false">
      <c r="A40" s="55" t="s">
        <v>282</v>
      </c>
      <c r="B40" s="55" t="s">
        <v>317</v>
      </c>
      <c r="C40" s="55" t="s">
        <v>285</v>
      </c>
    </row>
    <row r="41" customFormat="false" ht="15" hidden="false" customHeight="false" outlineLevel="0" collapsed="false">
      <c r="A41" s="41" t="s">
        <v>289</v>
      </c>
      <c r="B41" s="44" t="n">
        <f aca="false">SUMIF($B$18:$B$30,A41,$E$18:$E$30)</f>
        <v>315</v>
      </c>
      <c r="C41" s="45" t="n">
        <f aca="false">B41/$E$31</f>
        <v>0.373069214449616</v>
      </c>
    </row>
    <row r="42" customFormat="false" ht="15" hidden="false" customHeight="false" outlineLevel="0" collapsed="false">
      <c r="A42" s="41" t="s">
        <v>300</v>
      </c>
      <c r="B42" s="44" t="n">
        <f aca="false">SUMIF($B$18:$B$30,A42,$E$18:$E$30)</f>
        <v>374.347343065321</v>
      </c>
      <c r="C42" s="45" t="n">
        <f aca="false">B42/$E$31</f>
        <v>0.443357045106922</v>
      </c>
    </row>
    <row r="43" customFormat="false" ht="15" hidden="false" customHeight="false" outlineLevel="0" collapsed="false">
      <c r="A43" s="41" t="s">
        <v>306</v>
      </c>
      <c r="B43" s="44" t="n">
        <f aca="false">SUMIF($B$18:$B$30,A43,$E$18:$E$30)</f>
        <v>155</v>
      </c>
      <c r="C43" s="45" t="n">
        <f aca="false">B43/$E$31</f>
        <v>0.183573740443462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2026-10-22T20:32:09Z</dcterms:created>
  <dc:creator>openpyxl</dc:creator>
  <dc:description/>
  <dc:language>en-US</dc:language>
  <cp:lastModifiedBy/>
  <dcterms:modified xsi:type="dcterms:W3CDTF">2026-10-26T17:31:57Z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